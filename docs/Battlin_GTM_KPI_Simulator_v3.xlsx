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blueholestudio-my.sharepoint.com/personal/james_kim_bluehole_net/Documents/Documents/5. Project Management/Z. Business managment/"/>
    </mc:Choice>
  </mc:AlternateContent>
  <xr:revisionPtr revIDLastSave="0" documentId="8_{8F5B712D-D2EE-42A7-AA0D-C195AE95192F}" xr6:coauthVersionLast="47" xr6:coauthVersionMax="47" xr10:uidLastSave="{00000000-0000-0000-0000-000000000000}"/>
  <bookViews>
    <workbookView xWindow="-40940" yWindow="-21770" windowWidth="36290" windowHeight="20500" tabRatio="500" xr2:uid="{00000000-000D-0000-FFFF-FFFF00000000}"/>
  </bookViews>
  <sheets>
    <sheet name="KPI Simulator_James(v2)" sheetId="4" r:id="rId1"/>
    <sheet name="KPI Simulator_James(Neutral)" sheetId="1" r:id="rId2"/>
    <sheet name="KPI Simulator_James (Pos)" sheetId="2" r:id="rId3"/>
    <sheet name="KPI Simulator_Akshay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4" i="4" l="1"/>
  <c r="I54" i="4" s="1"/>
  <c r="J54" i="4" s="1"/>
  <c r="K54" i="4" s="1"/>
  <c r="G54" i="4"/>
  <c r="G55" i="4"/>
  <c r="H55" i="4"/>
  <c r="I55" i="4"/>
  <c r="J55" i="4"/>
  <c r="K55" i="4"/>
  <c r="F55" i="4"/>
  <c r="F54" i="4"/>
  <c r="L102" i="4"/>
  <c r="K101" i="4"/>
  <c r="J101" i="4"/>
  <c r="I101" i="4"/>
  <c r="H101" i="4"/>
  <c r="G101" i="4"/>
  <c r="F101" i="4"/>
  <c r="L88" i="4"/>
  <c r="K86" i="4"/>
  <c r="J86" i="4"/>
  <c r="I86" i="4"/>
  <c r="H86" i="4"/>
  <c r="G86" i="4"/>
  <c r="F86" i="4"/>
  <c r="L83" i="4"/>
  <c r="L82" i="4"/>
  <c r="L81" i="4"/>
  <c r="L80" i="4"/>
  <c r="L79" i="4"/>
  <c r="L78" i="4"/>
  <c r="L76" i="4"/>
  <c r="K59" i="4"/>
  <c r="J59" i="4"/>
  <c r="I59" i="4"/>
  <c r="I12" i="4" s="1"/>
  <c r="H59" i="4"/>
  <c r="G59" i="4"/>
  <c r="F59" i="4"/>
  <c r="F12" i="4" s="1"/>
  <c r="K57" i="4"/>
  <c r="K98" i="4" s="1"/>
  <c r="J57" i="4"/>
  <c r="J98" i="4" s="1"/>
  <c r="I57" i="4"/>
  <c r="I98" i="4" s="1"/>
  <c r="H57" i="4"/>
  <c r="G57" i="4"/>
  <c r="G98" i="4" s="1"/>
  <c r="G17" i="4" s="1"/>
  <c r="F57" i="4"/>
  <c r="F98" i="4" s="1"/>
  <c r="K43" i="4"/>
  <c r="J43" i="4"/>
  <c r="I43" i="4"/>
  <c r="H43" i="4"/>
  <c r="G43" i="4"/>
  <c r="T40" i="4"/>
  <c r="U40" i="4" s="1"/>
  <c r="T39" i="4"/>
  <c r="U39" i="4" s="1"/>
  <c r="K39" i="4"/>
  <c r="J39" i="4"/>
  <c r="I39" i="4"/>
  <c r="H39" i="4"/>
  <c r="G39" i="4"/>
  <c r="F39" i="4"/>
  <c r="T38" i="4"/>
  <c r="K35" i="4"/>
  <c r="J35" i="4"/>
  <c r="I35" i="4"/>
  <c r="H35" i="4"/>
  <c r="G35" i="4"/>
  <c r="F35" i="4"/>
  <c r="F25" i="4"/>
  <c r="K15" i="4"/>
  <c r="J15" i="4"/>
  <c r="I15" i="4"/>
  <c r="H15" i="4"/>
  <c r="G15" i="4"/>
  <c r="F15" i="4"/>
  <c r="K11" i="4"/>
  <c r="L11" i="4" s="1"/>
  <c r="J11" i="4"/>
  <c r="I11" i="4"/>
  <c r="H11" i="4"/>
  <c r="G11" i="4"/>
  <c r="F11" i="4"/>
  <c r="G100" i="3"/>
  <c r="G106" i="3" s="1"/>
  <c r="L99" i="3"/>
  <c r="K98" i="3"/>
  <c r="J98" i="3"/>
  <c r="I98" i="3"/>
  <c r="H98" i="3"/>
  <c r="G98" i="3"/>
  <c r="L98" i="3" s="1"/>
  <c r="F98" i="3"/>
  <c r="H95" i="3"/>
  <c r="H100" i="3" s="1"/>
  <c r="G95" i="3"/>
  <c r="G17" i="3" s="1"/>
  <c r="F95" i="3"/>
  <c r="L85" i="3"/>
  <c r="K83" i="3"/>
  <c r="J83" i="3"/>
  <c r="I83" i="3"/>
  <c r="H83" i="3"/>
  <c r="G83" i="3"/>
  <c r="F83" i="3"/>
  <c r="L80" i="3"/>
  <c r="L79" i="3"/>
  <c r="L78" i="3"/>
  <c r="L77" i="3"/>
  <c r="L76" i="3"/>
  <c r="L75" i="3"/>
  <c r="L73" i="3"/>
  <c r="K58" i="3"/>
  <c r="K82" i="3" s="1"/>
  <c r="J58" i="3"/>
  <c r="K56" i="3"/>
  <c r="K12" i="3" s="1"/>
  <c r="J56" i="3"/>
  <c r="I56" i="3"/>
  <c r="I58" i="3" s="1"/>
  <c r="H56" i="3"/>
  <c r="H58" i="3" s="1"/>
  <c r="G56" i="3"/>
  <c r="G58" i="3" s="1"/>
  <c r="F56" i="3"/>
  <c r="F12" i="3" s="1"/>
  <c r="K54" i="3"/>
  <c r="K95" i="3" s="1"/>
  <c r="K100" i="3" s="1"/>
  <c r="J54" i="3"/>
  <c r="J95" i="3" s="1"/>
  <c r="J100" i="3" s="1"/>
  <c r="I54" i="3"/>
  <c r="I95" i="3" s="1"/>
  <c r="I100" i="3" s="1"/>
  <c r="H54" i="3"/>
  <c r="G54" i="3"/>
  <c r="F54" i="3"/>
  <c r="K43" i="3"/>
  <c r="J43" i="3"/>
  <c r="I43" i="3"/>
  <c r="H43" i="3"/>
  <c r="G43" i="3"/>
  <c r="U40" i="3"/>
  <c r="T40" i="3"/>
  <c r="U39" i="3"/>
  <c r="T39" i="3"/>
  <c r="K39" i="3"/>
  <c r="J39" i="3"/>
  <c r="I39" i="3"/>
  <c r="H39" i="3"/>
  <c r="G39" i="3"/>
  <c r="F39" i="3"/>
  <c r="T38" i="3"/>
  <c r="U38" i="3" s="1"/>
  <c r="U41" i="3" s="1"/>
  <c r="K35" i="3"/>
  <c r="J35" i="3"/>
  <c r="I35" i="3"/>
  <c r="H35" i="3"/>
  <c r="G35" i="3"/>
  <c r="F35" i="3"/>
  <c r="L35" i="3" s="1"/>
  <c r="F32" i="3"/>
  <c r="F25" i="3"/>
  <c r="I17" i="3"/>
  <c r="K15" i="3"/>
  <c r="J15" i="3"/>
  <c r="L15" i="3" s="1"/>
  <c r="I15" i="3"/>
  <c r="H15" i="3"/>
  <c r="G15" i="3"/>
  <c r="F15" i="3"/>
  <c r="J12" i="3"/>
  <c r="K11" i="3"/>
  <c r="L11" i="3" s="1"/>
  <c r="J11" i="3"/>
  <c r="I11" i="3"/>
  <c r="H11" i="3"/>
  <c r="G11" i="3"/>
  <c r="F11" i="3"/>
  <c r="G25" i="1"/>
  <c r="H25" i="1" s="1"/>
  <c r="I25" i="1" s="1"/>
  <c r="J25" i="1" s="1"/>
  <c r="K25" i="1" s="1"/>
  <c r="L98" i="2"/>
  <c r="L97" i="2"/>
  <c r="K97" i="2"/>
  <c r="J97" i="2"/>
  <c r="I97" i="2"/>
  <c r="H97" i="2"/>
  <c r="G97" i="2"/>
  <c r="F97" i="2"/>
  <c r="G94" i="2"/>
  <c r="G17" i="2" s="1"/>
  <c r="F94" i="2"/>
  <c r="F99" i="2" s="1"/>
  <c r="F18" i="2" s="1"/>
  <c r="L84" i="2"/>
  <c r="K82" i="2"/>
  <c r="J82" i="2"/>
  <c r="I82" i="2"/>
  <c r="H82" i="2"/>
  <c r="G82" i="2"/>
  <c r="F82" i="2"/>
  <c r="L82" i="2" s="1"/>
  <c r="L79" i="2"/>
  <c r="L78" i="2"/>
  <c r="L77" i="2"/>
  <c r="L76" i="2"/>
  <c r="L75" i="2"/>
  <c r="L74" i="2"/>
  <c r="L72" i="2"/>
  <c r="K55" i="2"/>
  <c r="K12" i="2" s="1"/>
  <c r="J55" i="2"/>
  <c r="J57" i="2" s="1"/>
  <c r="I55" i="2"/>
  <c r="I57" i="2" s="1"/>
  <c r="H55" i="2"/>
  <c r="G55" i="2"/>
  <c r="G57" i="2" s="1"/>
  <c r="G81" i="2" s="1"/>
  <c r="G103" i="2" s="1"/>
  <c r="F55" i="2"/>
  <c r="F57" i="2" s="1"/>
  <c r="F81" i="2" s="1"/>
  <c r="K53" i="2"/>
  <c r="K94" i="2" s="1"/>
  <c r="K99" i="2" s="1"/>
  <c r="J53" i="2"/>
  <c r="J94" i="2" s="1"/>
  <c r="J17" i="2" s="1"/>
  <c r="I53" i="2"/>
  <c r="I94" i="2" s="1"/>
  <c r="H53" i="2"/>
  <c r="H94" i="2" s="1"/>
  <c r="G53" i="2"/>
  <c r="F53" i="2"/>
  <c r="K42" i="2"/>
  <c r="J42" i="2"/>
  <c r="I42" i="2"/>
  <c r="H42" i="2"/>
  <c r="G42" i="2"/>
  <c r="U39" i="2"/>
  <c r="T39" i="2"/>
  <c r="T38" i="2"/>
  <c r="U38" i="2" s="1"/>
  <c r="K38" i="2"/>
  <c r="J38" i="2"/>
  <c r="I38" i="2"/>
  <c r="H38" i="2"/>
  <c r="G38" i="2"/>
  <c r="F38" i="2"/>
  <c r="T37" i="2"/>
  <c r="K34" i="2"/>
  <c r="J34" i="2"/>
  <c r="I34" i="2"/>
  <c r="H34" i="2"/>
  <c r="G34" i="2"/>
  <c r="F34" i="2"/>
  <c r="F25" i="2"/>
  <c r="K15" i="2"/>
  <c r="J15" i="2"/>
  <c r="L15" i="2" s="1"/>
  <c r="I15" i="2"/>
  <c r="H15" i="2"/>
  <c r="G15" i="2"/>
  <c r="F15" i="2"/>
  <c r="K11" i="2"/>
  <c r="L11" i="2" s="1"/>
  <c r="J11" i="2"/>
  <c r="I11" i="2"/>
  <c r="H11" i="2"/>
  <c r="G11" i="2"/>
  <c r="F11" i="2"/>
  <c r="T41" i="4" l="1"/>
  <c r="I61" i="4"/>
  <c r="L101" i="4"/>
  <c r="L57" i="4"/>
  <c r="L15" i="4"/>
  <c r="L35" i="4"/>
  <c r="L86" i="4"/>
  <c r="I103" i="4"/>
  <c r="I17" i="4"/>
  <c r="J17" i="4"/>
  <c r="J103" i="4"/>
  <c r="F118" i="4"/>
  <c r="F41" i="4"/>
  <c r="F32" i="4"/>
  <c r="F30" i="4"/>
  <c r="F44" i="4"/>
  <c r="F6" i="4"/>
  <c r="U38" i="4"/>
  <c r="U41" i="4" s="1"/>
  <c r="K103" i="4"/>
  <c r="K17" i="4"/>
  <c r="F61" i="4"/>
  <c r="L59" i="4"/>
  <c r="F107" i="4"/>
  <c r="G61" i="4"/>
  <c r="G107" i="4"/>
  <c r="G12" i="4"/>
  <c r="G25" i="4"/>
  <c r="H61" i="4"/>
  <c r="H12" i="4"/>
  <c r="J12" i="4"/>
  <c r="J61" i="4"/>
  <c r="F17" i="4"/>
  <c r="F103" i="4"/>
  <c r="I13" i="4"/>
  <c r="H98" i="4"/>
  <c r="K12" i="4"/>
  <c r="K61" i="4"/>
  <c r="G103" i="4"/>
  <c r="I59" i="3"/>
  <c r="I82" i="3"/>
  <c r="I104" i="3" s="1"/>
  <c r="I13" i="3"/>
  <c r="I12" i="3"/>
  <c r="H59" i="3"/>
  <c r="H82" i="3"/>
  <c r="H104" i="3" s="1"/>
  <c r="H13" i="3"/>
  <c r="H12" i="3"/>
  <c r="G59" i="3"/>
  <c r="G82" i="3"/>
  <c r="G104" i="3" s="1"/>
  <c r="G13" i="3"/>
  <c r="G12" i="3"/>
  <c r="L12" i="3" s="1"/>
  <c r="F58" i="3"/>
  <c r="L83" i="3"/>
  <c r="I36" i="3"/>
  <c r="I37" i="3" s="1"/>
  <c r="G36" i="3"/>
  <c r="G37" i="3" s="1"/>
  <c r="F36" i="3"/>
  <c r="K36" i="3"/>
  <c r="K37" i="3" s="1"/>
  <c r="J36" i="3"/>
  <c r="J37" i="3" s="1"/>
  <c r="H36" i="3"/>
  <c r="H37" i="3" s="1"/>
  <c r="J18" i="3"/>
  <c r="J59" i="3"/>
  <c r="J82" i="3"/>
  <c r="J104" i="3" s="1"/>
  <c r="K18" i="3"/>
  <c r="L95" i="3"/>
  <c r="J13" i="3"/>
  <c r="F41" i="3"/>
  <c r="G25" i="3"/>
  <c r="F44" i="3"/>
  <c r="G18" i="3"/>
  <c r="L54" i="3"/>
  <c r="L58" i="3"/>
  <c r="F33" i="3"/>
  <c r="H106" i="3"/>
  <c r="H18" i="3"/>
  <c r="K59" i="3"/>
  <c r="J106" i="3"/>
  <c r="K106" i="3"/>
  <c r="K13" i="3"/>
  <c r="F6" i="3"/>
  <c r="F17" i="3"/>
  <c r="L17" i="3" s="1"/>
  <c r="F30" i="3"/>
  <c r="L56" i="3"/>
  <c r="H17" i="3"/>
  <c r="T41" i="3"/>
  <c r="J17" i="3"/>
  <c r="K17" i="3"/>
  <c r="I106" i="3"/>
  <c r="I18" i="3"/>
  <c r="F100" i="3"/>
  <c r="K104" i="3"/>
  <c r="G12" i="2"/>
  <c r="F12" i="2"/>
  <c r="K17" i="2"/>
  <c r="I12" i="2"/>
  <c r="J12" i="2"/>
  <c r="K57" i="2"/>
  <c r="K81" i="2" s="1"/>
  <c r="K103" i="2" s="1"/>
  <c r="G99" i="2"/>
  <c r="G105" i="2" s="1"/>
  <c r="J99" i="2"/>
  <c r="J18" i="2" s="1"/>
  <c r="T40" i="2"/>
  <c r="U37" i="2"/>
  <c r="U40" i="2" s="1"/>
  <c r="I103" i="2"/>
  <c r="F29" i="2"/>
  <c r="F114" i="2"/>
  <c r="G25" i="2"/>
  <c r="F6" i="2"/>
  <c r="F43" i="2"/>
  <c r="F31" i="2"/>
  <c r="I13" i="2"/>
  <c r="I58" i="2"/>
  <c r="I81" i="2"/>
  <c r="F105" i="2"/>
  <c r="J58" i="2"/>
  <c r="J81" i="2"/>
  <c r="J103" i="2" s="1"/>
  <c r="J13" i="2"/>
  <c r="F103" i="2"/>
  <c r="F40" i="2"/>
  <c r="F46" i="2" s="1"/>
  <c r="K105" i="2"/>
  <c r="K18" i="2"/>
  <c r="I17" i="2"/>
  <c r="I99" i="2"/>
  <c r="L94" i="2"/>
  <c r="F17" i="2"/>
  <c r="H17" i="2"/>
  <c r="H99" i="2"/>
  <c r="L99" i="2" s="1"/>
  <c r="L53" i="2"/>
  <c r="F13" i="2"/>
  <c r="F58" i="2"/>
  <c r="G13" i="2"/>
  <c r="G58" i="2"/>
  <c r="L34" i="2"/>
  <c r="H57" i="2"/>
  <c r="L55" i="2"/>
  <c r="H12" i="2"/>
  <c r="L12" i="4" l="1"/>
  <c r="I62" i="4"/>
  <c r="I85" i="4"/>
  <c r="I107" i="4" s="1"/>
  <c r="J13" i="4"/>
  <c r="J62" i="4"/>
  <c r="J85" i="4"/>
  <c r="J107" i="4" s="1"/>
  <c r="H13" i="4"/>
  <c r="H85" i="4"/>
  <c r="H107" i="4" s="1"/>
  <c r="H62" i="4"/>
  <c r="G18" i="4"/>
  <c r="G109" i="4"/>
  <c r="F49" i="4"/>
  <c r="F68" i="4"/>
  <c r="F7" i="4"/>
  <c r="F111" i="4"/>
  <c r="K109" i="4"/>
  <c r="K18" i="4"/>
  <c r="I36" i="4"/>
  <c r="I37" i="4" s="1"/>
  <c r="H36" i="4"/>
  <c r="H37" i="4" s="1"/>
  <c r="G36" i="4"/>
  <c r="G37" i="4" s="1"/>
  <c r="F36" i="4"/>
  <c r="K36" i="4"/>
  <c r="K37" i="4" s="1"/>
  <c r="J36" i="4"/>
  <c r="J37" i="4" s="1"/>
  <c r="K62" i="4"/>
  <c r="K13" i="4"/>
  <c r="K85" i="4"/>
  <c r="K107" i="4" s="1"/>
  <c r="G30" i="4"/>
  <c r="G118" i="4"/>
  <c r="G44" i="4"/>
  <c r="G6" i="4"/>
  <c r="G32" i="4"/>
  <c r="G33" i="4" s="1"/>
  <c r="H25" i="4"/>
  <c r="G41" i="4"/>
  <c r="F33" i="4"/>
  <c r="F47" i="4"/>
  <c r="H17" i="4"/>
  <c r="H103" i="4"/>
  <c r="L103" i="4" s="1"/>
  <c r="G13" i="4"/>
  <c r="G85" i="4"/>
  <c r="G62" i="4"/>
  <c r="J109" i="4"/>
  <c r="J18" i="4"/>
  <c r="F18" i="4"/>
  <c r="F109" i="4"/>
  <c r="L98" i="4"/>
  <c r="F13" i="4"/>
  <c r="F85" i="4"/>
  <c r="F62" i="4"/>
  <c r="L61" i="4"/>
  <c r="L17" i="4"/>
  <c r="I18" i="4"/>
  <c r="I109" i="4"/>
  <c r="F59" i="3"/>
  <c r="F82" i="3"/>
  <c r="F13" i="3"/>
  <c r="L13" i="3" s="1"/>
  <c r="L100" i="3"/>
  <c r="F106" i="3"/>
  <c r="F18" i="3"/>
  <c r="L18" i="3" s="1"/>
  <c r="F47" i="3"/>
  <c r="F115" i="3"/>
  <c r="F108" i="3"/>
  <c r="F7" i="3"/>
  <c r="F65" i="3"/>
  <c r="F66" i="3" s="1"/>
  <c r="F16" i="3" s="1"/>
  <c r="F49" i="3"/>
  <c r="G41" i="3"/>
  <c r="G44" i="3"/>
  <c r="H25" i="3"/>
  <c r="G115" i="3"/>
  <c r="G30" i="3"/>
  <c r="G6" i="3"/>
  <c r="G32" i="3"/>
  <c r="P37" i="3"/>
  <c r="P38" i="3" s="1"/>
  <c r="F37" i="3"/>
  <c r="L37" i="3" s="1"/>
  <c r="F40" i="3"/>
  <c r="L12" i="2"/>
  <c r="K58" i="2"/>
  <c r="K13" i="2"/>
  <c r="J105" i="2"/>
  <c r="G18" i="2"/>
  <c r="F64" i="2"/>
  <c r="F48" i="2"/>
  <c r="F7" i="2"/>
  <c r="F65" i="2"/>
  <c r="F16" i="2" s="1"/>
  <c r="F107" i="2"/>
  <c r="J35" i="2"/>
  <c r="J36" i="2" s="1"/>
  <c r="H35" i="2"/>
  <c r="H36" i="2" s="1"/>
  <c r="F35" i="2"/>
  <c r="I35" i="2"/>
  <c r="I36" i="2" s="1"/>
  <c r="G35" i="2"/>
  <c r="G36" i="2" s="1"/>
  <c r="K35" i="2"/>
  <c r="K36" i="2" s="1"/>
  <c r="H105" i="2"/>
  <c r="H18" i="2"/>
  <c r="L18" i="2" s="1"/>
  <c r="F47" i="2"/>
  <c r="F32" i="2"/>
  <c r="L17" i="2"/>
  <c r="H13" i="2"/>
  <c r="L13" i="2" s="1"/>
  <c r="H58" i="2"/>
  <c r="L57" i="2"/>
  <c r="H81" i="2"/>
  <c r="I105" i="2"/>
  <c r="I18" i="2"/>
  <c r="G43" i="2"/>
  <c r="G29" i="2"/>
  <c r="G114" i="2"/>
  <c r="G40" i="2"/>
  <c r="H25" i="2"/>
  <c r="G6" i="2"/>
  <c r="G31" i="2"/>
  <c r="G32" i="2" s="1"/>
  <c r="G37" i="2" s="1"/>
  <c r="G47" i="4" l="1"/>
  <c r="G48" i="4" s="1"/>
  <c r="G9" i="4"/>
  <c r="G77" i="4"/>
  <c r="H30" i="4"/>
  <c r="H118" i="4"/>
  <c r="H44" i="4"/>
  <c r="H6" i="4"/>
  <c r="H32" i="4"/>
  <c r="H40" i="4" s="1"/>
  <c r="I25" i="4"/>
  <c r="H41" i="4"/>
  <c r="L85" i="4"/>
  <c r="L13" i="4"/>
  <c r="H109" i="4"/>
  <c r="H18" i="4"/>
  <c r="L18" i="4" s="1"/>
  <c r="F70" i="4"/>
  <c r="F73" i="4"/>
  <c r="F14" i="4"/>
  <c r="G68" i="4"/>
  <c r="G69" i="4" s="1"/>
  <c r="G16" i="4" s="1"/>
  <c r="G7" i="4"/>
  <c r="G111" i="4"/>
  <c r="G49" i="4"/>
  <c r="P37" i="4"/>
  <c r="P38" i="4" s="1"/>
  <c r="F37" i="4"/>
  <c r="L37" i="4" s="1"/>
  <c r="F40" i="4"/>
  <c r="G40" i="4"/>
  <c r="G38" i="4"/>
  <c r="F48" i="4"/>
  <c r="F69" i="4"/>
  <c r="F16" i="4" s="1"/>
  <c r="F104" i="3"/>
  <c r="L82" i="3"/>
  <c r="G47" i="3"/>
  <c r="G48" i="3" s="1"/>
  <c r="G9" i="3" s="1"/>
  <c r="F48" i="3"/>
  <c r="H44" i="3"/>
  <c r="H6" i="3"/>
  <c r="H32" i="3"/>
  <c r="H33" i="3" s="1"/>
  <c r="H38" i="3" s="1"/>
  <c r="I25" i="3"/>
  <c r="H115" i="3"/>
  <c r="H30" i="3"/>
  <c r="H41" i="3"/>
  <c r="G108" i="3"/>
  <c r="G7" i="3"/>
  <c r="G65" i="3"/>
  <c r="F38" i="3"/>
  <c r="G74" i="3"/>
  <c r="F70" i="3"/>
  <c r="F14" i="3"/>
  <c r="F67" i="3"/>
  <c r="G33" i="3"/>
  <c r="G40" i="3"/>
  <c r="G7" i="2"/>
  <c r="G64" i="2"/>
  <c r="G107" i="2"/>
  <c r="G65" i="2"/>
  <c r="G16" i="2" s="1"/>
  <c r="F73" i="2"/>
  <c r="F9" i="2"/>
  <c r="F66" i="2"/>
  <c r="F69" i="2"/>
  <c r="F14" i="2"/>
  <c r="G71" i="2"/>
  <c r="G8" i="2"/>
  <c r="L81" i="2"/>
  <c r="H103" i="2"/>
  <c r="G39" i="2"/>
  <c r="P36" i="2"/>
  <c r="P37" i="2" s="1"/>
  <c r="F36" i="2"/>
  <c r="L36" i="2" s="1"/>
  <c r="F39" i="2"/>
  <c r="H29" i="2"/>
  <c r="H40" i="2"/>
  <c r="H46" i="2" s="1"/>
  <c r="H47" i="2" s="1"/>
  <c r="H43" i="2"/>
  <c r="H114" i="2"/>
  <c r="H6" i="2"/>
  <c r="H31" i="2"/>
  <c r="H32" i="2" s="1"/>
  <c r="H37" i="2" s="1"/>
  <c r="H39" i="2"/>
  <c r="I25" i="2"/>
  <c r="G46" i="2"/>
  <c r="H47" i="4" l="1"/>
  <c r="H48" i="4" s="1"/>
  <c r="H9" i="4" s="1"/>
  <c r="F9" i="4"/>
  <c r="F77" i="4"/>
  <c r="G70" i="4"/>
  <c r="G71" i="4" s="1"/>
  <c r="G73" i="4"/>
  <c r="G14" i="4"/>
  <c r="I30" i="4"/>
  <c r="I41" i="4"/>
  <c r="I118" i="4"/>
  <c r="J25" i="4"/>
  <c r="I32" i="4"/>
  <c r="I33" i="4" s="1"/>
  <c r="I38" i="4" s="1"/>
  <c r="I44" i="4"/>
  <c r="I6" i="4"/>
  <c r="G8" i="4"/>
  <c r="G75" i="4"/>
  <c r="G84" i="4" s="1"/>
  <c r="G50" i="4"/>
  <c r="G10" i="4" s="1"/>
  <c r="H33" i="4"/>
  <c r="F71" i="4"/>
  <c r="H68" i="4"/>
  <c r="H69" i="4" s="1"/>
  <c r="H16" i="4" s="1"/>
  <c r="H7" i="4"/>
  <c r="H49" i="4"/>
  <c r="H111" i="4"/>
  <c r="F38" i="4"/>
  <c r="G49" i="3"/>
  <c r="H40" i="3"/>
  <c r="H47" i="3"/>
  <c r="H48" i="3" s="1"/>
  <c r="H9" i="3" s="1"/>
  <c r="F68" i="3"/>
  <c r="G38" i="3"/>
  <c r="H108" i="3"/>
  <c r="H7" i="3"/>
  <c r="H65" i="3"/>
  <c r="H66" i="3" s="1"/>
  <c r="H16" i="3" s="1"/>
  <c r="J25" i="3"/>
  <c r="I6" i="3"/>
  <c r="I32" i="3"/>
  <c r="I33" i="3" s="1"/>
  <c r="I38" i="3" s="1"/>
  <c r="I115" i="3"/>
  <c r="I30" i="3"/>
  <c r="I41" i="3"/>
  <c r="I40" i="3"/>
  <c r="I44" i="3"/>
  <c r="F50" i="3"/>
  <c r="F8" i="3"/>
  <c r="F72" i="3"/>
  <c r="H8" i="3"/>
  <c r="H72" i="3"/>
  <c r="G14" i="3"/>
  <c r="G70" i="3"/>
  <c r="G67" i="3"/>
  <c r="G68" i="3" s="1"/>
  <c r="F74" i="3"/>
  <c r="F9" i="3"/>
  <c r="G66" i="3"/>
  <c r="G16" i="3" s="1"/>
  <c r="H9" i="2"/>
  <c r="H73" i="2"/>
  <c r="F67" i="2"/>
  <c r="H64" i="2"/>
  <c r="H7" i="2"/>
  <c r="H107" i="2"/>
  <c r="H65" i="2"/>
  <c r="H16" i="2" s="1"/>
  <c r="H48" i="2"/>
  <c r="G47" i="2"/>
  <c r="I29" i="2"/>
  <c r="I114" i="2"/>
  <c r="I40" i="2"/>
  <c r="I43" i="2"/>
  <c r="I31" i="2"/>
  <c r="I6" i="2"/>
  <c r="I39" i="2"/>
  <c r="J25" i="2"/>
  <c r="G66" i="2"/>
  <c r="G67" i="2" s="1"/>
  <c r="G69" i="2"/>
  <c r="G14" i="2"/>
  <c r="H8" i="2"/>
  <c r="H71" i="2"/>
  <c r="H80" i="2" s="1"/>
  <c r="H49" i="2"/>
  <c r="H10" i="2" s="1"/>
  <c r="G48" i="2"/>
  <c r="F37" i="2"/>
  <c r="H77" i="4" l="1"/>
  <c r="I47" i="4"/>
  <c r="J118" i="4"/>
  <c r="J41" i="4"/>
  <c r="J44" i="4"/>
  <c r="J30" i="4"/>
  <c r="K25" i="4"/>
  <c r="J6" i="4"/>
  <c r="J32" i="4"/>
  <c r="J40" i="4" s="1"/>
  <c r="I48" i="4"/>
  <c r="I50" i="4" s="1"/>
  <c r="I10" i="4" s="1"/>
  <c r="I49" i="4"/>
  <c r="I111" i="4"/>
  <c r="I68" i="4"/>
  <c r="I7" i="4"/>
  <c r="H38" i="4"/>
  <c r="F8" i="4"/>
  <c r="F75" i="4"/>
  <c r="F50" i="4"/>
  <c r="G87" i="4"/>
  <c r="G106" i="4"/>
  <c r="I40" i="4"/>
  <c r="H70" i="4"/>
  <c r="H73" i="4"/>
  <c r="H14" i="4"/>
  <c r="I75" i="4"/>
  <c r="I8" i="4"/>
  <c r="H49" i="3"/>
  <c r="H50" i="3"/>
  <c r="H10" i="3" s="1"/>
  <c r="H74" i="3"/>
  <c r="H81" i="3" s="1"/>
  <c r="I47" i="3"/>
  <c r="I48" i="3" s="1"/>
  <c r="I9" i="3" s="1"/>
  <c r="F81" i="3"/>
  <c r="F10" i="3"/>
  <c r="I108" i="3"/>
  <c r="I65" i="3"/>
  <c r="I66" i="3" s="1"/>
  <c r="I16" i="3" s="1"/>
  <c r="I7" i="3"/>
  <c r="H14" i="3"/>
  <c r="H70" i="3"/>
  <c r="H67" i="3"/>
  <c r="H68" i="3" s="1"/>
  <c r="G50" i="3"/>
  <c r="G10" i="3" s="1"/>
  <c r="G8" i="3"/>
  <c r="G72" i="3"/>
  <c r="G81" i="3" s="1"/>
  <c r="I8" i="3"/>
  <c r="I72" i="3"/>
  <c r="K25" i="3"/>
  <c r="J6" i="3"/>
  <c r="J32" i="3"/>
  <c r="J40" i="3" s="1"/>
  <c r="J115" i="3"/>
  <c r="J30" i="3"/>
  <c r="J41" i="3"/>
  <c r="J44" i="3"/>
  <c r="G9" i="2"/>
  <c r="G73" i="2"/>
  <c r="G49" i="2"/>
  <c r="G10" i="2" s="1"/>
  <c r="J29" i="2"/>
  <c r="J40" i="2"/>
  <c r="J43" i="2"/>
  <c r="J114" i="2"/>
  <c r="K25" i="2"/>
  <c r="J6" i="2"/>
  <c r="J39" i="2"/>
  <c r="J31" i="2"/>
  <c r="J32" i="2" s="1"/>
  <c r="J37" i="2" s="1"/>
  <c r="F49" i="2"/>
  <c r="F8" i="2"/>
  <c r="F71" i="2"/>
  <c r="I32" i="2"/>
  <c r="H66" i="2"/>
  <c r="H67" i="2" s="1"/>
  <c r="H69" i="2"/>
  <c r="H14" i="2"/>
  <c r="I46" i="2"/>
  <c r="H83" i="2"/>
  <c r="H102" i="2"/>
  <c r="I64" i="2"/>
  <c r="I65" i="2" s="1"/>
  <c r="I16" i="2" s="1"/>
  <c r="I7" i="2"/>
  <c r="I107" i="2"/>
  <c r="G19" i="4" l="1"/>
  <c r="G105" i="4"/>
  <c r="G20" i="4" s="1"/>
  <c r="G89" i="4"/>
  <c r="G108" i="4"/>
  <c r="G21" i="4" s="1"/>
  <c r="G115" i="4"/>
  <c r="G116" i="4" s="1"/>
  <c r="G110" i="4"/>
  <c r="F10" i="4"/>
  <c r="K118" i="4"/>
  <c r="K41" i="4"/>
  <c r="K44" i="4"/>
  <c r="K32" i="4"/>
  <c r="K33" i="4" s="1"/>
  <c r="K38" i="4" s="1"/>
  <c r="K30" i="4"/>
  <c r="K6" i="4"/>
  <c r="L6" i="4" s="1"/>
  <c r="J111" i="4"/>
  <c r="J7" i="4"/>
  <c r="J68" i="4"/>
  <c r="H71" i="4"/>
  <c r="J47" i="4"/>
  <c r="J49" i="4" s="1"/>
  <c r="I77" i="4"/>
  <c r="I84" i="4" s="1"/>
  <c r="I9" i="4"/>
  <c r="F84" i="4"/>
  <c r="J33" i="4"/>
  <c r="H8" i="4"/>
  <c r="H75" i="4"/>
  <c r="H84" i="4" s="1"/>
  <c r="H50" i="4"/>
  <c r="H10" i="4" s="1"/>
  <c r="I70" i="4"/>
  <c r="I71" i="4" s="1"/>
  <c r="I73" i="4"/>
  <c r="I14" i="4"/>
  <c r="I69" i="4"/>
  <c r="I16" i="4" s="1"/>
  <c r="I49" i="3"/>
  <c r="I50" i="3"/>
  <c r="I10" i="3" s="1"/>
  <c r="I74" i="3"/>
  <c r="I81" i="3" s="1"/>
  <c r="J47" i="3"/>
  <c r="J48" i="3" s="1"/>
  <c r="G84" i="3"/>
  <c r="G103" i="3"/>
  <c r="J9" i="3"/>
  <c r="J74" i="3"/>
  <c r="J108" i="3"/>
  <c r="J65" i="3"/>
  <c r="J7" i="3"/>
  <c r="J33" i="3"/>
  <c r="I14" i="3"/>
  <c r="I70" i="3"/>
  <c r="I67" i="3"/>
  <c r="I68" i="3" s="1"/>
  <c r="K6" i="3"/>
  <c r="L6" i="3" s="1"/>
  <c r="K32" i="3"/>
  <c r="K33" i="3" s="1"/>
  <c r="K38" i="3" s="1"/>
  <c r="K115" i="3"/>
  <c r="K30" i="3"/>
  <c r="K41" i="3"/>
  <c r="K44" i="3"/>
  <c r="H84" i="3"/>
  <c r="H103" i="3"/>
  <c r="F84" i="3"/>
  <c r="F103" i="3"/>
  <c r="I47" i="2"/>
  <c r="K114" i="2"/>
  <c r="K40" i="2"/>
  <c r="K43" i="2"/>
  <c r="K6" i="2"/>
  <c r="L6" i="2" s="1"/>
  <c r="K31" i="2"/>
  <c r="K29" i="2"/>
  <c r="I48" i="2"/>
  <c r="I37" i="2"/>
  <c r="J46" i="2"/>
  <c r="J47" i="2" s="1"/>
  <c r="J107" i="2"/>
  <c r="J7" i="2"/>
  <c r="J64" i="2"/>
  <c r="F80" i="2"/>
  <c r="G80" i="2"/>
  <c r="I66" i="2"/>
  <c r="I69" i="2"/>
  <c r="I14" i="2"/>
  <c r="F10" i="2"/>
  <c r="H101" i="2"/>
  <c r="H20" i="2" s="1"/>
  <c r="H19" i="2"/>
  <c r="H85" i="2"/>
  <c r="H104" i="2"/>
  <c r="H21" i="2" s="1"/>
  <c r="H111" i="2"/>
  <c r="H112" i="2" s="1"/>
  <c r="H106" i="2"/>
  <c r="J49" i="2"/>
  <c r="J10" i="2" s="1"/>
  <c r="J71" i="2"/>
  <c r="J8" i="2"/>
  <c r="H43" i="1"/>
  <c r="I43" i="1"/>
  <c r="J43" i="1"/>
  <c r="K43" i="1"/>
  <c r="G43" i="1"/>
  <c r="F25" i="1"/>
  <c r="F30" i="1" s="1"/>
  <c r="F44" i="1"/>
  <c r="T40" i="1"/>
  <c r="U40" i="1" s="1"/>
  <c r="T39" i="1"/>
  <c r="U39" i="1" s="1"/>
  <c r="T38" i="1"/>
  <c r="U38" i="1" s="1"/>
  <c r="U41" i="1" s="1"/>
  <c r="L32" i="4" l="1"/>
  <c r="K40" i="4"/>
  <c r="K47" i="4"/>
  <c r="K48" i="4" s="1"/>
  <c r="K50" i="4" s="1"/>
  <c r="K10" i="4" s="1"/>
  <c r="J73" i="4"/>
  <c r="J14" i="4"/>
  <c r="J70" i="4"/>
  <c r="I87" i="4"/>
  <c r="I106" i="4"/>
  <c r="H87" i="4"/>
  <c r="H106" i="4"/>
  <c r="J38" i="4"/>
  <c r="L33" i="4"/>
  <c r="J69" i="4"/>
  <c r="J16" i="4" s="1"/>
  <c r="F87" i="4"/>
  <c r="F106" i="4"/>
  <c r="K7" i="4"/>
  <c r="L7" i="4" s="1"/>
  <c r="K111" i="4"/>
  <c r="K49" i="4"/>
  <c r="K68" i="4"/>
  <c r="L30" i="4"/>
  <c r="J48" i="4"/>
  <c r="L47" i="4"/>
  <c r="K8" i="4"/>
  <c r="K75" i="4"/>
  <c r="J49" i="3"/>
  <c r="I84" i="3"/>
  <c r="I103" i="3"/>
  <c r="K8" i="3"/>
  <c r="K72" i="3"/>
  <c r="K40" i="3"/>
  <c r="F86" i="3"/>
  <c r="F19" i="3"/>
  <c r="F102" i="3"/>
  <c r="F20" i="3" s="1"/>
  <c r="F105" i="3"/>
  <c r="F21" i="3" s="1"/>
  <c r="F107" i="3"/>
  <c r="F112" i="3"/>
  <c r="H86" i="3"/>
  <c r="H102" i="3"/>
  <c r="H20" i="3" s="1"/>
  <c r="H105" i="3"/>
  <c r="H21" i="3" s="1"/>
  <c r="H19" i="3"/>
  <c r="H112" i="3"/>
  <c r="H113" i="3" s="1"/>
  <c r="H107" i="3"/>
  <c r="J38" i="3"/>
  <c r="L33" i="3"/>
  <c r="G86" i="3"/>
  <c r="G102" i="3"/>
  <c r="G20" i="3" s="1"/>
  <c r="G105" i="3"/>
  <c r="G21" i="3" s="1"/>
  <c r="G19" i="3"/>
  <c r="G112" i="3"/>
  <c r="G113" i="3" s="1"/>
  <c r="G107" i="3"/>
  <c r="J14" i="3"/>
  <c r="J70" i="3"/>
  <c r="J67" i="3"/>
  <c r="J68" i="3" s="1"/>
  <c r="J66" i="3"/>
  <c r="J16" i="3" s="1"/>
  <c r="L32" i="3"/>
  <c r="K47" i="3"/>
  <c r="K49" i="3" s="1"/>
  <c r="K108" i="3"/>
  <c r="K65" i="3"/>
  <c r="L65" i="3" s="1"/>
  <c r="K7" i="3"/>
  <c r="L7" i="3" s="1"/>
  <c r="L30" i="3"/>
  <c r="I67" i="2"/>
  <c r="I49" i="2"/>
  <c r="I71" i="2"/>
  <c r="I8" i="2"/>
  <c r="K107" i="2"/>
  <c r="K64" i="2"/>
  <c r="K7" i="2"/>
  <c r="K48" i="2"/>
  <c r="K32" i="2"/>
  <c r="L31" i="2"/>
  <c r="F83" i="2"/>
  <c r="F102" i="2"/>
  <c r="L29" i="2"/>
  <c r="K39" i="2"/>
  <c r="J48" i="2"/>
  <c r="J66" i="2"/>
  <c r="J67" i="2" s="1"/>
  <c r="J69" i="2"/>
  <c r="J14" i="2"/>
  <c r="K46" i="2"/>
  <c r="K47" i="2" s="1"/>
  <c r="L7" i="2"/>
  <c r="L64" i="2"/>
  <c r="J65" i="2"/>
  <c r="J16" i="2" s="1"/>
  <c r="I9" i="2"/>
  <c r="I73" i="2"/>
  <c r="G83" i="2"/>
  <c r="G102" i="2"/>
  <c r="J73" i="2"/>
  <c r="J80" i="2" s="1"/>
  <c r="J9" i="2"/>
  <c r="F41" i="1"/>
  <c r="F47" i="1" s="1"/>
  <c r="G41" i="1"/>
  <c r="K36" i="1"/>
  <c r="J36" i="1"/>
  <c r="I36" i="1"/>
  <c r="H36" i="1"/>
  <c r="G36" i="1"/>
  <c r="F36" i="1"/>
  <c r="T41" i="1"/>
  <c r="K70" i="4" l="1"/>
  <c r="K71" i="4" s="1"/>
  <c r="K73" i="4"/>
  <c r="K14" i="4"/>
  <c r="L14" i="4" s="1"/>
  <c r="J50" i="4"/>
  <c r="J8" i="4"/>
  <c r="L8" i="4" s="1"/>
  <c r="J75" i="4"/>
  <c r="L38" i="4"/>
  <c r="H19" i="4"/>
  <c r="H105" i="4"/>
  <c r="H20" i="4" s="1"/>
  <c r="H89" i="4"/>
  <c r="H108" i="4"/>
  <c r="H21" i="4" s="1"/>
  <c r="H115" i="4"/>
  <c r="H116" i="4" s="1"/>
  <c r="H110" i="4"/>
  <c r="K69" i="4"/>
  <c r="K16" i="4" s="1"/>
  <c r="L16" i="4" s="1"/>
  <c r="I105" i="4"/>
  <c r="I20" i="4" s="1"/>
  <c r="I89" i="4"/>
  <c r="I108" i="4"/>
  <c r="I21" i="4" s="1"/>
  <c r="I19" i="4"/>
  <c r="I115" i="4"/>
  <c r="I116" i="4" s="1"/>
  <c r="I110" i="4"/>
  <c r="L68" i="4"/>
  <c r="J71" i="4"/>
  <c r="L70" i="4"/>
  <c r="F19" i="4"/>
  <c r="F105" i="4"/>
  <c r="F20" i="4" s="1"/>
  <c r="F89" i="4"/>
  <c r="F108" i="4"/>
  <c r="F21" i="4" s="1"/>
  <c r="F115" i="4"/>
  <c r="F110" i="4"/>
  <c r="J77" i="4"/>
  <c r="J9" i="4"/>
  <c r="L48" i="4"/>
  <c r="K9" i="4"/>
  <c r="K77" i="4"/>
  <c r="K84" i="4" s="1"/>
  <c r="K66" i="3"/>
  <c r="K16" i="3" s="1"/>
  <c r="L16" i="3" s="1"/>
  <c r="I86" i="3"/>
  <c r="I105" i="3"/>
  <c r="I21" i="3" s="1"/>
  <c r="I19" i="3"/>
  <c r="I102" i="3"/>
  <c r="I20" i="3" s="1"/>
  <c r="I112" i="3"/>
  <c r="I113" i="3" s="1"/>
  <c r="I107" i="3"/>
  <c r="F113" i="3"/>
  <c r="K48" i="3"/>
  <c r="L47" i="3"/>
  <c r="J50" i="3"/>
  <c r="J72" i="3"/>
  <c r="J8" i="3"/>
  <c r="L8" i="3" s="1"/>
  <c r="L38" i="3"/>
  <c r="K14" i="3"/>
  <c r="L14" i="3" s="1"/>
  <c r="K70" i="3"/>
  <c r="K67" i="3"/>
  <c r="J83" i="2"/>
  <c r="J102" i="2"/>
  <c r="K37" i="2"/>
  <c r="L32" i="2"/>
  <c r="K73" i="2"/>
  <c r="K9" i="2"/>
  <c r="K69" i="2"/>
  <c r="K14" i="2"/>
  <c r="L14" i="2" s="1"/>
  <c r="K66" i="2"/>
  <c r="K67" i="2" s="1"/>
  <c r="K65" i="2"/>
  <c r="K16" i="2" s="1"/>
  <c r="L16" i="2" s="1"/>
  <c r="G19" i="2"/>
  <c r="G101" i="2"/>
  <c r="G20" i="2" s="1"/>
  <c r="G85" i="2"/>
  <c r="G104" i="2"/>
  <c r="G21" i="2" s="1"/>
  <c r="G111" i="2"/>
  <c r="G112" i="2" s="1"/>
  <c r="G106" i="2"/>
  <c r="L47" i="2"/>
  <c r="I80" i="2"/>
  <c r="L73" i="2"/>
  <c r="I10" i="2"/>
  <c r="L9" i="2"/>
  <c r="F104" i="2"/>
  <c r="F21" i="2" s="1"/>
  <c r="F19" i="2"/>
  <c r="F85" i="2"/>
  <c r="F101" i="2"/>
  <c r="F20" i="2" s="1"/>
  <c r="F111" i="2"/>
  <c r="F106" i="2"/>
  <c r="L46" i="2"/>
  <c r="P37" i="1"/>
  <c r="P38" i="1" s="1"/>
  <c r="G30" i="1"/>
  <c r="H41" i="1"/>
  <c r="G44" i="1"/>
  <c r="G47" i="1" s="1"/>
  <c r="K87" i="4" l="1"/>
  <c r="K106" i="4"/>
  <c r="J84" i="4"/>
  <c r="L75" i="4"/>
  <c r="L9" i="4"/>
  <c r="L77" i="4"/>
  <c r="J10" i="4"/>
  <c r="L10" i="4" s="1"/>
  <c r="L50" i="4"/>
  <c r="F116" i="4"/>
  <c r="J81" i="3"/>
  <c r="L72" i="3"/>
  <c r="K68" i="3"/>
  <c r="L67" i="3"/>
  <c r="J10" i="3"/>
  <c r="K9" i="3"/>
  <c r="L9" i="3" s="1"/>
  <c r="K74" i="3"/>
  <c r="L48" i="3"/>
  <c r="K50" i="3"/>
  <c r="K10" i="3" s="1"/>
  <c r="I83" i="2"/>
  <c r="I102" i="2"/>
  <c r="L66" i="2"/>
  <c r="K49" i="2"/>
  <c r="K8" i="2"/>
  <c r="L8" i="2" s="1"/>
  <c r="K71" i="2"/>
  <c r="L37" i="2"/>
  <c r="F112" i="2"/>
  <c r="J101" i="2"/>
  <c r="J20" i="2" s="1"/>
  <c r="J85" i="2"/>
  <c r="J19" i="2"/>
  <c r="J104" i="2"/>
  <c r="J21" i="2" s="1"/>
  <c r="J111" i="2"/>
  <c r="J112" i="2" s="1"/>
  <c r="J106" i="2"/>
  <c r="H30" i="1"/>
  <c r="I41" i="1"/>
  <c r="H44" i="1"/>
  <c r="H47" i="1" s="1"/>
  <c r="J87" i="4" l="1"/>
  <c r="J106" i="4"/>
  <c r="L84" i="4"/>
  <c r="K89" i="4"/>
  <c r="K19" i="4"/>
  <c r="K105" i="4"/>
  <c r="K20" i="4" s="1"/>
  <c r="K108" i="4"/>
  <c r="K21" i="4" s="1"/>
  <c r="K115" i="4"/>
  <c r="K116" i="4" s="1"/>
  <c r="K110" i="4"/>
  <c r="L74" i="3"/>
  <c r="K81" i="3"/>
  <c r="L50" i="3"/>
  <c r="L10" i="3"/>
  <c r="J84" i="3"/>
  <c r="J103" i="3"/>
  <c r="L81" i="3"/>
  <c r="K80" i="2"/>
  <c r="L71" i="2"/>
  <c r="K10" i="2"/>
  <c r="L10" i="2" s="1"/>
  <c r="L49" i="2"/>
  <c r="I19" i="2"/>
  <c r="I101" i="2"/>
  <c r="I20" i="2" s="1"/>
  <c r="I85" i="2"/>
  <c r="I104" i="2"/>
  <c r="I21" i="2" s="1"/>
  <c r="I111" i="2"/>
  <c r="I106" i="2"/>
  <c r="I44" i="1"/>
  <c r="I47" i="1" s="1"/>
  <c r="J41" i="1"/>
  <c r="I30" i="1"/>
  <c r="J89" i="4" l="1"/>
  <c r="L89" i="4" s="1"/>
  <c r="J108" i="4"/>
  <c r="J21" i="4" s="1"/>
  <c r="L21" i="4" s="1"/>
  <c r="J19" i="4"/>
  <c r="L19" i="4" s="1"/>
  <c r="J105" i="4"/>
  <c r="J20" i="4" s="1"/>
  <c r="L20" i="4" s="1"/>
  <c r="J115" i="4"/>
  <c r="J110" i="4"/>
  <c r="L87" i="4"/>
  <c r="J86" i="3"/>
  <c r="J19" i="3"/>
  <c r="J105" i="3"/>
  <c r="J21" i="3" s="1"/>
  <c r="J102" i="3"/>
  <c r="J20" i="3" s="1"/>
  <c r="J112" i="3"/>
  <c r="J107" i="3"/>
  <c r="K84" i="3"/>
  <c r="K103" i="3"/>
  <c r="K83" i="2"/>
  <c r="K102" i="2"/>
  <c r="L80" i="2"/>
  <c r="I112" i="2"/>
  <c r="J44" i="1"/>
  <c r="J47" i="1" s="1"/>
  <c r="K41" i="1"/>
  <c r="J30" i="1"/>
  <c r="J116" i="4" l="1"/>
  <c r="L115" i="4"/>
  <c r="K105" i="3"/>
  <c r="K21" i="3" s="1"/>
  <c r="L21" i="3" s="1"/>
  <c r="K19" i="3"/>
  <c r="L19" i="3" s="1"/>
  <c r="K102" i="3"/>
  <c r="K20" i="3" s="1"/>
  <c r="L20" i="3" s="1"/>
  <c r="K86" i="3"/>
  <c r="L86" i="3" s="1"/>
  <c r="K112" i="3"/>
  <c r="K113" i="3" s="1"/>
  <c r="K107" i="3"/>
  <c r="L84" i="3"/>
  <c r="J113" i="3"/>
  <c r="K85" i="2"/>
  <c r="L85" i="2" s="1"/>
  <c r="K104" i="2"/>
  <c r="K21" i="2" s="1"/>
  <c r="L21" i="2" s="1"/>
  <c r="K101" i="2"/>
  <c r="K20" i="2" s="1"/>
  <c r="L20" i="2" s="1"/>
  <c r="K19" i="2"/>
  <c r="L19" i="2" s="1"/>
  <c r="K111" i="2"/>
  <c r="K106" i="2"/>
  <c r="L83" i="2"/>
  <c r="K44" i="1"/>
  <c r="K30" i="1"/>
  <c r="L99" i="1"/>
  <c r="K98" i="1"/>
  <c r="J98" i="1"/>
  <c r="I98" i="1"/>
  <c r="H98" i="1"/>
  <c r="G98" i="1"/>
  <c r="F98" i="1"/>
  <c r="L85" i="1"/>
  <c r="K83" i="1"/>
  <c r="J83" i="1"/>
  <c r="I83" i="1"/>
  <c r="H83" i="1"/>
  <c r="G83" i="1"/>
  <c r="F83" i="1"/>
  <c r="L80" i="1"/>
  <c r="L79" i="1"/>
  <c r="L78" i="1"/>
  <c r="L77" i="1"/>
  <c r="L76" i="1"/>
  <c r="L75" i="1"/>
  <c r="L73" i="1"/>
  <c r="F65" i="1"/>
  <c r="I56" i="1"/>
  <c r="I12" i="1" s="1"/>
  <c r="J48" i="1"/>
  <c r="J74" i="1" s="1"/>
  <c r="I48" i="1"/>
  <c r="H48" i="1"/>
  <c r="G48" i="1"/>
  <c r="G74" i="1" s="1"/>
  <c r="F48" i="1"/>
  <c r="F74" i="1" s="1"/>
  <c r="K39" i="1"/>
  <c r="J39" i="1"/>
  <c r="I39" i="1"/>
  <c r="H39" i="1"/>
  <c r="G39" i="1"/>
  <c r="F39" i="1"/>
  <c r="K37" i="1"/>
  <c r="J37" i="1"/>
  <c r="I37" i="1"/>
  <c r="H37" i="1"/>
  <c r="G37" i="1"/>
  <c r="F37" i="1"/>
  <c r="K35" i="1"/>
  <c r="J35" i="1"/>
  <c r="I35" i="1"/>
  <c r="H35" i="1"/>
  <c r="G35" i="1"/>
  <c r="F35" i="1"/>
  <c r="K32" i="1"/>
  <c r="K40" i="1" s="1"/>
  <c r="J32" i="1"/>
  <c r="J33" i="1" s="1"/>
  <c r="I32" i="1"/>
  <c r="I40" i="1" s="1"/>
  <c r="H32" i="1"/>
  <c r="H40" i="1" s="1"/>
  <c r="G32" i="1"/>
  <c r="G33" i="1" s="1"/>
  <c r="F32" i="1"/>
  <c r="F40" i="1" s="1"/>
  <c r="I65" i="1"/>
  <c r="I54" i="1" s="1"/>
  <c r="I95" i="1" s="1"/>
  <c r="H7" i="1"/>
  <c r="G7" i="1"/>
  <c r="K15" i="1"/>
  <c r="J15" i="1"/>
  <c r="I15" i="1"/>
  <c r="H15" i="1"/>
  <c r="G15" i="1"/>
  <c r="F15" i="1"/>
  <c r="F7" i="1"/>
  <c r="K6" i="1"/>
  <c r="J6" i="1"/>
  <c r="I6" i="1"/>
  <c r="H6" i="1"/>
  <c r="G6" i="1"/>
  <c r="F6" i="1"/>
  <c r="L112" i="3" l="1"/>
  <c r="K112" i="2"/>
  <c r="L111" i="2"/>
  <c r="F67" i="1"/>
  <c r="F68" i="1" s="1"/>
  <c r="I11" i="1"/>
  <c r="K47" i="1"/>
  <c r="L47" i="1" s="1"/>
  <c r="L35" i="1"/>
  <c r="G40" i="1"/>
  <c r="J38" i="1"/>
  <c r="J8" i="1" s="1"/>
  <c r="L37" i="1"/>
  <c r="J49" i="1"/>
  <c r="H49" i="1"/>
  <c r="J9" i="1"/>
  <c r="L98" i="1"/>
  <c r="G38" i="1"/>
  <c r="G50" i="1" s="1"/>
  <c r="G10" i="1" s="1"/>
  <c r="L15" i="1"/>
  <c r="L83" i="1"/>
  <c r="K33" i="1"/>
  <c r="K38" i="1" s="1"/>
  <c r="J40" i="1"/>
  <c r="J7" i="1"/>
  <c r="I49" i="1"/>
  <c r="I7" i="1"/>
  <c r="H65" i="1"/>
  <c r="H9" i="1"/>
  <c r="H74" i="1"/>
  <c r="L6" i="1"/>
  <c r="L32" i="1"/>
  <c r="G49" i="1"/>
  <c r="I70" i="1"/>
  <c r="I66" i="1"/>
  <c r="I16" i="1" s="1"/>
  <c r="I14" i="1"/>
  <c r="I67" i="1"/>
  <c r="I68" i="1" s="1"/>
  <c r="I100" i="1"/>
  <c r="I17" i="1"/>
  <c r="I74" i="1"/>
  <c r="I9" i="1"/>
  <c r="F14" i="1"/>
  <c r="I58" i="1"/>
  <c r="J65" i="1"/>
  <c r="F49" i="1"/>
  <c r="K65" i="1"/>
  <c r="F33" i="1"/>
  <c r="H33" i="1"/>
  <c r="H38" i="1" s="1"/>
  <c r="K7" i="1"/>
  <c r="I33" i="1"/>
  <c r="I38" i="1" s="1"/>
  <c r="F66" i="1"/>
  <c r="F16" i="1" s="1"/>
  <c r="L30" i="1"/>
  <c r="F9" i="1"/>
  <c r="G9" i="1"/>
  <c r="F70" i="1"/>
  <c r="G65" i="1"/>
  <c r="J50" i="1" l="1"/>
  <c r="J10" i="1" s="1"/>
  <c r="K49" i="1"/>
  <c r="J54" i="1"/>
  <c r="J95" i="1" s="1"/>
  <c r="J11" i="1"/>
  <c r="J56" i="1"/>
  <c r="K66" i="1"/>
  <c r="K16" i="1" s="1"/>
  <c r="H67" i="1"/>
  <c r="H68" i="1" s="1"/>
  <c r="J72" i="1"/>
  <c r="J81" i="1" s="1"/>
  <c r="K48" i="1"/>
  <c r="K50" i="1" s="1"/>
  <c r="K10" i="1" s="1"/>
  <c r="H14" i="1"/>
  <c r="G66" i="1"/>
  <c r="G16" i="1" s="1"/>
  <c r="F56" i="1"/>
  <c r="F54" i="1"/>
  <c r="F11" i="1"/>
  <c r="L7" i="1"/>
  <c r="H66" i="1"/>
  <c r="H16" i="1" s="1"/>
  <c r="K8" i="1"/>
  <c r="G72" i="1"/>
  <c r="G81" i="1" s="1"/>
  <c r="G8" i="1"/>
  <c r="K72" i="1"/>
  <c r="H70" i="1"/>
  <c r="L65" i="1"/>
  <c r="F38" i="1"/>
  <c r="L33" i="1"/>
  <c r="J103" i="1"/>
  <c r="G103" i="1"/>
  <c r="K70" i="1"/>
  <c r="K14" i="1"/>
  <c r="K67" i="1"/>
  <c r="K68" i="1" s="1"/>
  <c r="G70" i="1"/>
  <c r="G14" i="1"/>
  <c r="G67" i="1"/>
  <c r="G68" i="1" s="1"/>
  <c r="I50" i="1"/>
  <c r="I10" i="1" s="1"/>
  <c r="I72" i="1"/>
  <c r="I81" i="1" s="1"/>
  <c r="I8" i="1"/>
  <c r="J67" i="1"/>
  <c r="J68" i="1" s="1"/>
  <c r="J66" i="1"/>
  <c r="J16" i="1" s="1"/>
  <c r="J14" i="1"/>
  <c r="J70" i="1"/>
  <c r="I59" i="1"/>
  <c r="I82" i="1"/>
  <c r="I104" i="1" s="1"/>
  <c r="I13" i="1"/>
  <c r="H50" i="1"/>
  <c r="H10" i="1" s="1"/>
  <c r="H72" i="1"/>
  <c r="H81" i="1" s="1"/>
  <c r="H8" i="1"/>
  <c r="I115" i="1"/>
  <c r="I108" i="1"/>
  <c r="I106" i="1"/>
  <c r="I18" i="1"/>
  <c r="L16" i="1" l="1"/>
  <c r="F58" i="1"/>
  <c r="F12" i="1"/>
  <c r="G56" i="1"/>
  <c r="G54" i="1"/>
  <c r="G95" i="1" s="1"/>
  <c r="G11" i="1"/>
  <c r="K74" i="1"/>
  <c r="L74" i="1" s="1"/>
  <c r="L48" i="1"/>
  <c r="K9" i="1"/>
  <c r="L9" i="1" s="1"/>
  <c r="H56" i="1"/>
  <c r="H54" i="1"/>
  <c r="H95" i="1" s="1"/>
  <c r="H11" i="1"/>
  <c r="K54" i="1"/>
  <c r="K95" i="1" s="1"/>
  <c r="K11" i="1"/>
  <c r="L11" i="1" s="1"/>
  <c r="K56" i="1"/>
  <c r="J12" i="1"/>
  <c r="J58" i="1"/>
  <c r="F95" i="1"/>
  <c r="J100" i="1"/>
  <c r="J17" i="1"/>
  <c r="L14" i="1"/>
  <c r="L67" i="1"/>
  <c r="I103" i="1"/>
  <c r="I84" i="1"/>
  <c r="L38" i="1"/>
  <c r="F50" i="1"/>
  <c r="F8" i="1"/>
  <c r="L8" i="1" s="1"/>
  <c r="F72" i="1"/>
  <c r="H103" i="1"/>
  <c r="K81" i="1" l="1"/>
  <c r="K103" i="1" s="1"/>
  <c r="L54" i="1"/>
  <c r="J59" i="1"/>
  <c r="J82" i="1"/>
  <c r="J13" i="1"/>
  <c r="H17" i="1"/>
  <c r="H100" i="1"/>
  <c r="H58" i="1"/>
  <c r="H12" i="1"/>
  <c r="K58" i="1"/>
  <c r="K12" i="1"/>
  <c r="G17" i="1"/>
  <c r="G100" i="1"/>
  <c r="K100" i="1"/>
  <c r="K17" i="1"/>
  <c r="G12" i="1"/>
  <c r="G58" i="1"/>
  <c r="L56" i="1"/>
  <c r="J18" i="1"/>
  <c r="J108" i="1"/>
  <c r="J115" i="1"/>
  <c r="J106" i="1"/>
  <c r="F100" i="1"/>
  <c r="L95" i="1"/>
  <c r="F17" i="1"/>
  <c r="F13" i="1"/>
  <c r="F59" i="1"/>
  <c r="F82" i="1"/>
  <c r="F81" i="1"/>
  <c r="L72" i="1"/>
  <c r="F10" i="1"/>
  <c r="L10" i="1" s="1"/>
  <c r="L50" i="1"/>
  <c r="I86" i="1"/>
  <c r="I105" i="1"/>
  <c r="I21" i="1" s="1"/>
  <c r="I19" i="1"/>
  <c r="I107" i="1"/>
  <c r="I102" i="1"/>
  <c r="I20" i="1" s="1"/>
  <c r="I112" i="1"/>
  <c r="I113" i="1" s="1"/>
  <c r="L12" i="1" l="1"/>
  <c r="G108" i="1"/>
  <c r="G115" i="1"/>
  <c r="G18" i="1"/>
  <c r="G106" i="1"/>
  <c r="F115" i="1"/>
  <c r="L100" i="1"/>
  <c r="F106" i="1"/>
  <c r="F18" i="1"/>
  <c r="F108" i="1"/>
  <c r="F104" i="1"/>
  <c r="K115" i="1"/>
  <c r="K108" i="1"/>
  <c r="K18" i="1"/>
  <c r="K106" i="1"/>
  <c r="L17" i="1"/>
  <c r="K82" i="1"/>
  <c r="K13" i="1"/>
  <c r="K59" i="1"/>
  <c r="H13" i="1"/>
  <c r="H82" i="1"/>
  <c r="H59" i="1"/>
  <c r="H18" i="1"/>
  <c r="H115" i="1"/>
  <c r="H108" i="1"/>
  <c r="H106" i="1"/>
  <c r="G13" i="1"/>
  <c r="G82" i="1"/>
  <c r="G59" i="1"/>
  <c r="J104" i="1"/>
  <c r="J84" i="1"/>
  <c r="L58" i="1"/>
  <c r="L81" i="1"/>
  <c r="F103" i="1"/>
  <c r="F84" i="1"/>
  <c r="L82" i="1" l="1"/>
  <c r="L18" i="1"/>
  <c r="H104" i="1"/>
  <c r="H84" i="1"/>
  <c r="J102" i="1"/>
  <c r="J20" i="1" s="1"/>
  <c r="J105" i="1"/>
  <c r="J21" i="1" s="1"/>
  <c r="J19" i="1"/>
  <c r="J86" i="1"/>
  <c r="J107" i="1"/>
  <c r="J112" i="1"/>
  <c r="J113" i="1" s="1"/>
  <c r="K104" i="1"/>
  <c r="K84" i="1"/>
  <c r="G104" i="1"/>
  <c r="G84" i="1"/>
  <c r="L13" i="1"/>
  <c r="F105" i="1"/>
  <c r="F21" i="1" s="1"/>
  <c r="F102" i="1"/>
  <c r="F20" i="1" s="1"/>
  <c r="F86" i="1"/>
  <c r="F19" i="1"/>
  <c r="F107" i="1"/>
  <c r="F112" i="1"/>
  <c r="L84" i="1" l="1"/>
  <c r="G105" i="1"/>
  <c r="G21" i="1" s="1"/>
  <c r="G19" i="1"/>
  <c r="G86" i="1"/>
  <c r="G107" i="1"/>
  <c r="G102" i="1"/>
  <c r="G20" i="1" s="1"/>
  <c r="G112" i="1"/>
  <c r="G113" i="1" s="1"/>
  <c r="K86" i="1"/>
  <c r="K107" i="1"/>
  <c r="K102" i="1"/>
  <c r="K20" i="1" s="1"/>
  <c r="K19" i="1"/>
  <c r="K105" i="1"/>
  <c r="K21" i="1" s="1"/>
  <c r="K112" i="1"/>
  <c r="K113" i="1" s="1"/>
  <c r="H86" i="1"/>
  <c r="H107" i="1"/>
  <c r="H112" i="1"/>
  <c r="H113" i="1" s="1"/>
  <c r="H102" i="1"/>
  <c r="H20" i="1" s="1"/>
  <c r="H19" i="1"/>
  <c r="H105" i="1"/>
  <c r="H21" i="1" s="1"/>
  <c r="F113" i="1"/>
  <c r="L20" i="1" l="1"/>
  <c r="L86" i="1"/>
  <c r="L19" i="1"/>
  <c r="L21" i="1"/>
  <c r="L112" i="1"/>
</calcChain>
</file>

<file path=xl/sharedStrings.xml><?xml version="1.0" encoding="utf-8"?>
<sst xmlns="http://schemas.openxmlformats.org/spreadsheetml/2006/main" count="1337" uniqueCount="205">
  <si>
    <t>Battlin GTM KPI Simulator (v2.0 — Hybrid Incentive)</t>
  </si>
  <si>
    <t xml:space="preserve">  Ph1: Soft Launch (Jul) → Ph2: Scale (Aug-Dec)  |  Blue cells = adjustable inputs for simulation</t>
  </si>
  <si>
    <t>USD/INR:</t>
  </si>
  <si>
    <t>← Adjust exchange rate</t>
  </si>
  <si>
    <t xml:space="preserve">  EXECUTIVE SUMMARY</t>
  </si>
  <si>
    <t>Metric</t>
  </si>
  <si>
    <t>Unit</t>
  </si>
  <si>
    <t>Jul</t>
  </si>
  <si>
    <t>Aug</t>
  </si>
  <si>
    <t>Sep</t>
  </si>
  <si>
    <t>Oct</t>
  </si>
  <si>
    <t>Nov</t>
  </si>
  <si>
    <t>Dec</t>
  </si>
  <si>
    <t>H2 Total</t>
  </si>
  <si>
    <t>Supply</t>
  </si>
  <si>
    <t>Active TOs</t>
  </si>
  <si>
    <t>#</t>
  </si>
  <si>
    <t>Total Tournaments</t>
  </si>
  <si>
    <t>TO Incentives (3-Layer)</t>
  </si>
  <si>
    <t>$</t>
  </si>
  <si>
    <t>Sponsored Credits</t>
  </si>
  <si>
    <t>Total Supply UA</t>
  </si>
  <si>
    <t>Demand</t>
  </si>
  <si>
    <t>MAU</t>
  </si>
  <si>
    <t>Inorganic Players</t>
  </si>
  <si>
    <t>Total Demand UA</t>
  </si>
  <si>
    <t>Engagement</t>
  </si>
  <si>
    <t>Total Player Slots</t>
  </si>
  <si>
    <t>Fill Rate</t>
  </si>
  <si>
    <t>%</t>
  </si>
  <si>
    <t>Avg Participants/Tourney</t>
  </si>
  <si>
    <t>Revenue</t>
  </si>
  <si>
    <t>Ad Revenue</t>
  </si>
  <si>
    <t>Total Revenue</t>
  </si>
  <si>
    <t>Marketing</t>
  </si>
  <si>
    <t>Total Marketing Spend</t>
  </si>
  <si>
    <t>CAC</t>
  </si>
  <si>
    <t>ROAS</t>
  </si>
  <si>
    <t>x</t>
  </si>
  <si>
    <t>Category</t>
  </si>
  <si>
    <t>Sub-Category</t>
  </si>
  <si>
    <t>Phase</t>
  </si>
  <si>
    <t xml:space="preserve">  SUPPLY ENGINE — TO Acquisition &amp; Hybrid Incentive (v2.0)</t>
  </si>
  <si>
    <t>TO Base</t>
  </si>
  <si>
    <t>Active Tournament Organizers</t>
  </si>
  <si>
    <t>Ph1→2</t>
  </si>
  <si>
    <t>Retention rate of Tos</t>
  </si>
  <si>
    <t>New TO added / Month</t>
  </si>
  <si>
    <t>Tournaments / TO / Month</t>
  </si>
  <si>
    <t>Tounrmanents by GRIMM bot</t>
  </si>
  <si>
    <t>from Oct</t>
  </si>
  <si>
    <t>Total Tournaments / Month</t>
  </si>
  <si>
    <t>L1: Milestones</t>
  </si>
  <si>
    <t>Avg Milestone Reward / TO (INR)</t>
  </si>
  <si>
    <t>₹</t>
  </si>
  <si>
    <t>All TOs</t>
  </si>
  <si>
    <t>from Oct - L1 for new grassroot organizers only / GRIMM bot to handle TO E2E flow</t>
  </si>
  <si>
    <t>Layer 1 Total (INR)</t>
  </si>
  <si>
    <t>Layer 1 Total (USD)</t>
  </si>
  <si>
    <t>L2: Leaderboard</t>
  </si>
  <si>
    <t>Monthly Leaderboard Pool (INR)</t>
  </si>
  <si>
    <t>Top 30</t>
  </si>
  <si>
    <t>Layer 2 Total (USD)</t>
  </si>
  <si>
    <t>L3: Grand Prize</t>
  </si>
  <si>
    <t>Amortized Grand Prize / Month (INR)</t>
  </si>
  <si>
    <t>Season</t>
  </si>
  <si>
    <t>Layer 3 scheme : Prize pool ((Top3 : 50K INR) + (Top10 : 25K INR) + (Top 50 : 10K INR)), Season 1 (Jul-Sep), Season 2(Oct-Dec)</t>
  </si>
  <si>
    <t>Layer 3 Total (USD)</t>
  </si>
  <si>
    <t>Prize</t>
  </si>
  <si>
    <t># of TO</t>
  </si>
  <si>
    <t>total</t>
  </si>
  <si>
    <t>Amortized</t>
  </si>
  <si>
    <t>TO Incentives Total (L1+L2+L3) USD</t>
  </si>
  <si>
    <t>Top TO Max Monthly Earning (INR)</t>
  </si>
  <si>
    <t>Ref</t>
  </si>
  <si>
    <t>Avg TO Monthly Earning (INR)</t>
  </si>
  <si>
    <t>Initial Credit total (INR)</t>
  </si>
  <si>
    <t>Wallet</t>
  </si>
  <si>
    <t>Credits last for a season (3months)</t>
  </si>
  <si>
    <t>monthly</t>
  </si>
  <si>
    <t>Initial Credit / New TO (INR, Mo1 only)</t>
  </si>
  <si>
    <t>Initial Credit for new users total</t>
  </si>
  <si>
    <t>Monthly Refill total (INR)</t>
  </si>
  <si>
    <t>Credits scheme : initial + R1 + R2 by performance</t>
  </si>
  <si>
    <t>R1(10+TM) achievement rate (1,500)</t>
  </si>
  <si>
    <t>R1 : ₹1,500 Sponsored Credit refill / Monthly milestone achieved (10+ tournaments)</t>
  </si>
  <si>
    <t>R2(20+TM) achievement rate (1,500)</t>
  </si>
  <si>
    <t>R2 : ₹1,500 Sponsored Credit refill / Monthly milestone achieved (20+ tournaments)</t>
  </si>
  <si>
    <t>Total Sponsored Credits (INR)</t>
  </si>
  <si>
    <t>Sponsored Credits (USD)</t>
  </si>
  <si>
    <t>Avg Prize Pool / Tournament (INR)</t>
  </si>
  <si>
    <t>Derived</t>
  </si>
  <si>
    <t>TOTAL SUPPLY UA (USD)</t>
  </si>
  <si>
    <t xml:space="preserve">  DEMAND ENGINE — Player Acquisition</t>
  </si>
  <si>
    <t>Users</t>
  </si>
  <si>
    <t>MAU = Total Player Slots(non-unique) / Tournament per player per month</t>
  </si>
  <si>
    <t>Retention rate of Players</t>
  </si>
  <si>
    <t>Registered Users(cumulative)</t>
  </si>
  <si>
    <t>Registered Users / Month</t>
  </si>
  <si>
    <t>50 / TO + alpha</t>
  </si>
  <si>
    <t>DAU / MAU %</t>
  </si>
  <si>
    <t>DAU</t>
  </si>
  <si>
    <t>Acquisition Mix</t>
  </si>
  <si>
    <t>% Inorganic Players</t>
  </si>
  <si>
    <t>Inorganic Players (new)</t>
  </si>
  <si>
    <t>Unit Cost</t>
  </si>
  <si>
    <t>Player CPI (USD)</t>
  </si>
  <si>
    <t>Total Demand UA (USD)</t>
  </si>
  <si>
    <t>Blended CPI (all players)</t>
  </si>
  <si>
    <t xml:space="preserve">  TOURNAMENT PERFORMANCE &amp; ENGAGEMENT</t>
  </si>
  <si>
    <t>Structure</t>
  </si>
  <si>
    <t>Avg Teams / Tournament</t>
  </si>
  <si>
    <t>Avg Players / Team</t>
  </si>
  <si>
    <t>Avg Fill Rate / Tournament</t>
  </si>
  <si>
    <t>Tournaments / Player / Month</t>
  </si>
  <si>
    <t>Total Player Slots (non-unique)</t>
  </si>
  <si>
    <t>Avg Participants / Tournament</t>
  </si>
  <si>
    <t>Est. Unique Active Players</t>
  </si>
  <si>
    <t>Implied Activation Rate (vs MAU)</t>
  </si>
  <si>
    <t>Player Wallet</t>
  </si>
  <si>
    <t>Min Withdrawal Threshold (INR)</t>
  </si>
  <si>
    <t>Fixed</t>
  </si>
  <si>
    <t>Avg Prize / Player / Tournament (INR)</t>
  </si>
  <si>
    <t xml:space="preserve">  MARKETING BUDGET BY GTM ACTIVITY</t>
  </si>
  <si>
    <t>Paid</t>
  </si>
  <si>
    <t>P-1 TO Empowerment</t>
  </si>
  <si>
    <t>TO Incentives (L1+L2+L3) → derived</t>
  </si>
  <si>
    <t>P-2 Social Channel</t>
  </si>
  <si>
    <t>Agency Retainer</t>
  </si>
  <si>
    <t>P-3 Prize Pools</t>
  </si>
  <si>
    <t>Sponsored Credits → derived</t>
  </si>
  <si>
    <t>P-4 College Activation</t>
  </si>
  <si>
    <t>Campus Ambassadors &amp; Clubs</t>
  </si>
  <si>
    <t>Ph2</t>
  </si>
  <si>
    <t>P-5 KOL / Influencer</t>
  </si>
  <si>
    <t>BGMI Streamers &amp; Content</t>
  </si>
  <si>
    <t>P-6 SEO / ASO</t>
  </si>
  <si>
    <t>Search &amp; Store Optimization</t>
  </si>
  <si>
    <t>P-7 BGMI Giveaways</t>
  </si>
  <si>
    <t>UC Codes &amp; Rewards</t>
  </si>
  <si>
    <t>P-8 PR &amp; Media</t>
  </si>
  <si>
    <t>Press Releases &amp; Coverage</t>
  </si>
  <si>
    <t>Organic</t>
  </si>
  <si>
    <t>O-3 Marquee Tourney</t>
  </si>
  <si>
    <t>BATTLIN BGMI Open (ops)</t>
  </si>
  <si>
    <t>Ph1</t>
  </si>
  <si>
    <t>Subtotals</t>
  </si>
  <si>
    <t>Supply UA (P-1 + P-3)</t>
  </si>
  <si>
    <t>Demand UA (Player Acq)</t>
  </si>
  <si>
    <t>Other Paid (P-2+P-4~P-8+O-3)</t>
  </si>
  <si>
    <t>TOTAL MARKETING SPEND</t>
  </si>
  <si>
    <t>Validation</t>
  </si>
  <si>
    <t>GTM Target Spend</t>
  </si>
  <si>
    <t>GTM Doc</t>
  </si>
  <si>
    <t>Variance (Target - Actual)</t>
  </si>
  <si>
    <t xml:space="preserve">  REVENUE &amp; MONETIZATION</t>
  </si>
  <si>
    <t>Static Impressions / DAU</t>
  </si>
  <si>
    <t>Interstitial Impressions / DAU</t>
  </si>
  <si>
    <t>Video Impressions / DAU</t>
  </si>
  <si>
    <t>eCPM Static ($)</t>
  </si>
  <si>
    <t>eCPM Interstitial ($)</t>
  </si>
  <si>
    <t>eCPM Video ($)</t>
  </si>
  <si>
    <t>Ad Fill Rate</t>
  </si>
  <si>
    <t>Monthly Ad Revenue (USD)</t>
  </si>
  <si>
    <t>Sponsorship</t>
  </si>
  <si>
    <t>Active Sponsor Deals</t>
  </si>
  <si>
    <t>Avg Deal Value / Month (USD)</t>
  </si>
  <si>
    <t>Sponsorship Revenue (USD)</t>
  </si>
  <si>
    <t>Webshop</t>
  </si>
  <si>
    <t>Webshop Revenue (USD)</t>
  </si>
  <si>
    <t>TOTAL REVENUE (USD)</t>
  </si>
  <si>
    <t xml:space="preserve">  EFFICIENCY &amp; UNIT ECONOMICS</t>
  </si>
  <si>
    <t>Efficiency</t>
  </si>
  <si>
    <t>Cost</t>
  </si>
  <si>
    <t>CAC (Total Mkt / MAU)</t>
  </si>
  <si>
    <t>Supply CAC (per TO)</t>
  </si>
  <si>
    <t>Demand CAC (per Inorganic Player)</t>
  </si>
  <si>
    <t>Returns</t>
  </si>
  <si>
    <t>ROAS (Revenue / Spend)</t>
  </si>
  <si>
    <t>ARPU (Revenue / MAU)</t>
  </si>
  <si>
    <t>Cost per Tournament</t>
  </si>
  <si>
    <t>Revenue per Tournament</t>
  </si>
  <si>
    <t>Ph1→Ph2</t>
  </si>
  <si>
    <t>TO Retention Rate (after Mo1)</t>
  </si>
  <si>
    <t>Target</t>
  </si>
  <si>
    <t>NPS Score</t>
  </si>
  <si>
    <t>Tournament Conclusion Rate</t>
  </si>
  <si>
    <t>P&amp;L</t>
  </si>
  <si>
    <t>Net Margin (Rev - Mkt Spend)</t>
  </si>
  <si>
    <t>Margin %</t>
  </si>
  <si>
    <t>Rev Share Preview</t>
  </si>
  <si>
    <t>Projected TO Revenue Share %</t>
  </si>
  <si>
    <t>Ph2 Sim</t>
  </si>
  <si>
    <t>Projected Rev Share / TO / Month (INR)</t>
  </si>
  <si>
    <t xml:space="preserve">  HOW TO USE THIS SIMULATOR</t>
  </si>
  <si>
    <t xml:space="preserve">  Blue-shaded cells are adjustable INPUT parameters — change these to run scenarios</t>
  </si>
  <si>
    <t xml:space="preserve">  v2.0 TO Incentive = 3-Layer Hybrid: L1 Milestone(all TOs) + L2 Leaderboard(Top 30) + L3 Grand Prize(Season)</t>
  </si>
  <si>
    <t xml:space="preserve">  Milestone avg ₹3,500~₹6,500/TO/mo (First Blood ₹500 → Power Organizer ₹3,000 cumulative)</t>
  </si>
  <si>
    <t xml:space="preserve">  Leaderboard: 1st ₹25K, 2nd-5th ₹15K, 6th-15th ₹8K, 16th-30th ₹5K = ₹2.4L/mo base pool</t>
  </si>
  <si>
    <t xml:space="preserve">  Sponsored Credits: TO Wallet system — ₹2K initial + ₹1.5K refill at 10 TM + ₹1.5K at 20 TM (max ₹5K/TO/mo)</t>
  </si>
  <si>
    <t xml:space="preserve">  Prize Pool: TO-managed via Wallet, ₹50~₹500/tournament. Min player withdrawal ₹100 (UPI)</t>
  </si>
  <si>
    <t xml:space="preserve">  Player Wallet accumulation hook: small amounts grow → "₹X more to withdraw!" re-engagement nudge</t>
  </si>
  <si>
    <t xml:space="preserve">  Rev Share Preview: Ph2 transition nudge showing TOs projected earning from ad revenue share</t>
  </si>
  <si>
    <t xml:space="preserve">  Source: Phase 1 Program (Revised v2.0) — krafton.atlassian.net/wiki/x/na-GOQ</t>
  </si>
  <si>
    <t xml:space="preserve">  GTM Overview: krafton.atlassian.net/wiki/x/MTpPNQ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</si>
</sst>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\$#,##0"/>
    <numFmt numFmtId="177" formatCode="0.0%"/>
    <numFmt numFmtId="178" formatCode="0.0\x"/>
    <numFmt numFmtId="179" formatCode="\₹#,##0"/>
    <numFmt numFmtId="180" formatCode="\$#,##0.0"/>
    <numFmt numFmtId="181" formatCode="\$#,##0.00"/>
  </numFmts>
  <fonts count="26">
    <font>
      <sz val="11"/>
      <color theme="1"/>
      <name val="Calibri"/>
      <family val="2"/>
      <charset val="1"/>
    </font>
    <font>
      <sz val="10"/>
      <name val="Arial"/>
    </font>
    <font>
      <b/>
      <sz val="16"/>
      <color rgb="FFFFFFFF"/>
      <name val="Arial"/>
      <charset val="1"/>
    </font>
    <font>
      <i/>
      <sz val="10"/>
      <color rgb="FF666666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9"/>
      <color rgb="FF888888"/>
      <name val="Arial"/>
      <charset val="1"/>
    </font>
    <font>
      <b/>
      <sz val="13"/>
      <color rgb="FFFFFFFF"/>
      <name val="Arial"/>
      <charset val="1"/>
    </font>
    <font>
      <b/>
      <sz val="9"/>
      <color rgb="FFAACCDD"/>
      <name val="Arial"/>
      <charset val="1"/>
    </font>
    <font>
      <b/>
      <sz val="10"/>
      <color rgb="FF8FBBDA"/>
      <name val="Arial"/>
      <charset val="1"/>
    </font>
    <font>
      <sz val="10"/>
      <color rgb="FFFFFFFF"/>
      <name val="Arial"/>
      <charset val="1"/>
    </font>
    <font>
      <sz val="9"/>
      <color rgb="FF8FBBDA"/>
      <name val="Arial"/>
      <charset val="1"/>
    </font>
    <font>
      <b/>
      <sz val="10"/>
      <color rgb="FFE0E0E0"/>
      <name val="Arial"/>
      <charset val="1"/>
    </font>
    <font>
      <b/>
      <sz val="10"/>
      <color rgb="FF1B2A4A"/>
      <name val="Arial"/>
      <charset val="1"/>
    </font>
    <font>
      <b/>
      <sz val="12"/>
      <color rgb="FFFFFFFF"/>
      <name val="Arial"/>
      <charset val="1"/>
    </font>
    <font>
      <sz val="10"/>
      <color rgb="FF333333"/>
      <name val="Arial"/>
      <charset val="1"/>
    </font>
    <font>
      <sz val="9"/>
      <color rgb="FF666666"/>
      <name val="Arial"/>
      <charset val="1"/>
    </font>
    <font>
      <sz val="10"/>
      <color rgb="FF000000"/>
      <name val="Arial"/>
      <charset val="1"/>
    </font>
    <font>
      <b/>
      <sz val="10"/>
      <color rgb="FF333333"/>
      <name val="Arial"/>
      <charset val="1"/>
    </font>
    <font>
      <b/>
      <sz val="11"/>
      <name val="Arial"/>
      <charset val="1"/>
    </font>
    <font>
      <sz val="10"/>
      <color rgb="FF333333"/>
      <name val="Arial"/>
      <family val="2"/>
    </font>
    <font>
      <sz val="9"/>
      <color rgb="FF666666"/>
      <name val="Arial"/>
      <family val="2"/>
    </font>
    <font>
      <sz val="10"/>
      <name val="Arial"/>
      <family val="2"/>
    </font>
    <font>
      <b/>
      <sz val="10"/>
      <name val="Cambria"/>
      <family val="1"/>
    </font>
    <font>
      <sz val="11"/>
      <name val="Cambria"/>
      <family val="1"/>
    </font>
    <font>
      <sz val="10"/>
      <color rgb="FF0000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D1B2A"/>
        <bgColor rgb="FF1B2A4A"/>
      </patternFill>
    </fill>
    <fill>
      <patternFill patternType="solid">
        <fgColor rgb="FFDAEEF7"/>
        <bgColor rgb="FFE8EEF2"/>
      </patternFill>
    </fill>
    <fill>
      <patternFill patternType="solid">
        <fgColor rgb="FF1B3A5C"/>
        <bgColor rgb="FF243B53"/>
      </patternFill>
    </fill>
    <fill>
      <patternFill patternType="solid">
        <fgColor rgb="FF243B53"/>
        <bgColor rgb="FF1B3A5C"/>
      </patternFill>
    </fill>
    <fill>
      <patternFill patternType="solid">
        <fgColor rgb="FFD6E4F0"/>
        <bgColor rgb="FFE0E0E0"/>
      </patternFill>
    </fill>
    <fill>
      <patternFill patternType="solid">
        <fgColor rgb="FF2E86AB"/>
        <bgColor rgb="FF008080"/>
      </patternFill>
    </fill>
    <fill>
      <patternFill patternType="solid">
        <fgColor rgb="FFE8EEF2"/>
        <bgColor rgb="FFF2F2F2"/>
      </patternFill>
    </fill>
    <fill>
      <patternFill patternType="solid">
        <fgColor rgb="FFE8DAEF"/>
        <bgColor rgb="FFE0E0E0"/>
      </patternFill>
    </fill>
    <fill>
      <patternFill patternType="solid">
        <fgColor rgb="FF117A65"/>
        <bgColor rgb="FF008080"/>
      </patternFill>
    </fill>
    <fill>
      <patternFill patternType="solid">
        <fgColor rgb="FFC73E1D"/>
        <bgColor rgb="FF993366"/>
      </patternFill>
    </fill>
    <fill>
      <patternFill patternType="solid">
        <fgColor rgb="FF5B2C6F"/>
        <bgColor rgb="FF333333"/>
      </patternFill>
    </fill>
    <fill>
      <patternFill patternType="solid">
        <fgColor rgb="FF3B1F2B"/>
        <bgColor rgb="FF333333"/>
      </patternFill>
    </fill>
    <fill>
      <patternFill patternType="solid">
        <fgColor rgb="FFD5F5E3"/>
        <bgColor rgb="FFDAEEF7"/>
      </patternFill>
    </fill>
    <fill>
      <patternFill patternType="solid">
        <fgColor rgb="FF1B4F72"/>
        <bgColor rgb="FF1B3A5C"/>
      </patternFill>
    </fill>
    <fill>
      <patternFill patternType="solid">
        <fgColor rgb="FFF2F2F2"/>
        <bgColor rgb="FFE8EEF2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3">
    <xf numFmtId="0" fontId="0" fillId="0" borderId="0"/>
    <xf numFmtId="41" fontId="1" fillId="0" borderId="0" applyBorder="0" applyAlignment="0" applyProtection="0"/>
    <xf numFmtId="9" fontId="1" fillId="0" borderId="0" applyBorder="0" applyAlignment="0" applyProtection="0"/>
  </cellStyleXfs>
  <cellXfs count="90">
    <xf numFmtId="0" fontId="0" fillId="0" borderId="0" xfId="0"/>
    <xf numFmtId="0" fontId="6" fillId="0" borderId="0" xfId="0" applyFont="1"/>
    <xf numFmtId="0" fontId="4" fillId="0" borderId="0" xfId="0" applyFont="1" applyAlignment="1">
      <alignment horizontal="right" vertical="center"/>
    </xf>
    <xf numFmtId="3" fontId="5" fillId="3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9" fillId="5" borderId="1" xfId="0" applyFont="1" applyFill="1" applyBorder="1"/>
    <xf numFmtId="0" fontId="10" fillId="5" borderId="1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indent="1"/>
    </xf>
    <xf numFmtId="0" fontId="13" fillId="8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Border="1" applyAlignment="1">
      <alignment horizontal="left" vertical="center" indent="1"/>
    </xf>
    <xf numFmtId="3" fontId="17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179" fontId="0" fillId="0" borderId="1" xfId="0" applyNumberFormat="1" applyBorder="1"/>
    <xf numFmtId="179" fontId="17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indent="1"/>
    </xf>
    <xf numFmtId="0" fontId="0" fillId="9" borderId="1" xfId="0" applyFill="1" applyBorder="1" applyAlignment="1">
      <alignment horizontal="left" vertical="center" indent="1"/>
    </xf>
    <xf numFmtId="0" fontId="18" fillId="9" borderId="1" xfId="0" applyFont="1" applyFill="1" applyBorder="1" applyAlignment="1">
      <alignment horizontal="left" vertical="center" indent="1"/>
    </xf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176" fontId="17" fillId="9" borderId="1" xfId="0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/>
    <xf numFmtId="176" fontId="5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/>
    <xf numFmtId="177" fontId="17" fillId="0" borderId="1" xfId="0" applyNumberFormat="1" applyFont="1" applyBorder="1" applyAlignment="1">
      <alignment horizontal="center" vertical="center"/>
    </xf>
    <xf numFmtId="0" fontId="13" fillId="14" borderId="1" xfId="0" applyFont="1" applyFill="1" applyBorder="1" applyAlignment="1">
      <alignment horizontal="left" vertical="center" indent="1"/>
    </xf>
    <xf numFmtId="0" fontId="0" fillId="14" borderId="1" xfId="0" applyFill="1" applyBorder="1" applyAlignment="1">
      <alignment horizontal="left" vertical="center" indent="1"/>
    </xf>
    <xf numFmtId="0" fontId="18" fillId="14" borderId="1" xfId="0" applyFont="1" applyFill="1" applyBorder="1" applyAlignment="1">
      <alignment horizontal="left" vertical="center" indent="1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176" fontId="17" fillId="14" borderId="1" xfId="0" applyNumberFormat="1" applyFont="1" applyFill="1" applyBorder="1" applyAlignment="1">
      <alignment horizontal="center" vertical="center"/>
    </xf>
    <xf numFmtId="176" fontId="4" fillId="14" borderId="1" xfId="0" applyNumberFormat="1" applyFont="1" applyFill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78" fontId="0" fillId="0" borderId="1" xfId="0" applyNumberFormat="1" applyBorder="1"/>
    <xf numFmtId="179" fontId="0" fillId="0" borderId="0" xfId="0" applyNumberFormat="1"/>
    <xf numFmtId="41" fontId="1" fillId="0" borderId="0" xfId="1"/>
    <xf numFmtId="41" fontId="0" fillId="0" borderId="0" xfId="0" applyNumberFormat="1"/>
    <xf numFmtId="179" fontId="5" fillId="3" borderId="3" xfId="0" applyNumberFormat="1" applyFont="1" applyFill="1" applyBorder="1" applyAlignment="1">
      <alignment horizontal="center" vertical="center"/>
    </xf>
    <xf numFmtId="179" fontId="5" fillId="3" borderId="4" xfId="0" applyNumberFormat="1" applyFont="1" applyFill="1" applyBorder="1" applyAlignment="1">
      <alignment horizontal="center" vertical="center"/>
    </xf>
    <xf numFmtId="176" fontId="17" fillId="0" borderId="5" xfId="0" applyNumberFormat="1" applyFont="1" applyBorder="1" applyAlignment="1">
      <alignment horizontal="center" vertical="center"/>
    </xf>
    <xf numFmtId="176" fontId="17" fillId="0" borderId="6" xfId="0" applyNumberFormat="1" applyFont="1" applyBorder="1" applyAlignment="1">
      <alignment horizontal="center" vertical="center"/>
    </xf>
    <xf numFmtId="179" fontId="5" fillId="3" borderId="2" xfId="0" applyNumberFormat="1" applyFont="1" applyFill="1" applyBorder="1" applyAlignment="1">
      <alignment horizontal="center" vertical="center"/>
    </xf>
    <xf numFmtId="179" fontId="0" fillId="0" borderId="4" xfId="0" applyNumberFormat="1" applyBorder="1"/>
    <xf numFmtId="0" fontId="20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indent="1"/>
    </xf>
    <xf numFmtId="179" fontId="24" fillId="0" borderId="1" xfId="0" applyNumberFormat="1" applyFont="1" applyBorder="1"/>
    <xf numFmtId="0" fontId="24" fillId="0" borderId="0" xfId="0" applyFont="1"/>
    <xf numFmtId="41" fontId="24" fillId="0" borderId="0" xfId="0" applyNumberFormat="1" applyFont="1"/>
    <xf numFmtId="0" fontId="20" fillId="0" borderId="1" xfId="0" applyFont="1" applyBorder="1" applyAlignment="1">
      <alignment horizontal="left" vertical="center" indent="3"/>
    </xf>
    <xf numFmtId="0" fontId="15" fillId="0" borderId="1" xfId="0" applyFont="1" applyBorder="1" applyAlignment="1">
      <alignment horizontal="left" vertical="center" indent="3"/>
    </xf>
    <xf numFmtId="179" fontId="22" fillId="0" borderId="1" xfId="0" applyNumberFormat="1" applyFont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/>
    </xf>
    <xf numFmtId="180" fontId="17" fillId="0" borderId="1" xfId="0" applyNumberFormat="1" applyFont="1" applyBorder="1" applyAlignment="1">
      <alignment horizontal="center" vertical="center"/>
    </xf>
    <xf numFmtId="181" fontId="17" fillId="0" borderId="1" xfId="0" applyNumberFormat="1" applyFont="1" applyBorder="1" applyAlignment="1">
      <alignment horizontal="center" vertical="center"/>
    </xf>
    <xf numFmtId="181" fontId="5" fillId="3" borderId="1" xfId="0" applyNumberFormat="1" applyFont="1" applyFill="1" applyBorder="1" applyAlignment="1">
      <alignment horizontal="center" vertical="center"/>
    </xf>
    <xf numFmtId="181" fontId="12" fillId="5" borderId="1" xfId="0" applyNumberFormat="1" applyFont="1" applyFill="1" applyBorder="1" applyAlignment="1">
      <alignment horizontal="center" vertical="center"/>
    </xf>
    <xf numFmtId="9" fontId="1" fillId="0" borderId="1" xfId="2" applyBorder="1" applyAlignment="1">
      <alignment horizontal="center" vertical="center"/>
    </xf>
    <xf numFmtId="177" fontId="1" fillId="0" borderId="1" xfId="2" applyNumberFormat="1" applyBorder="1" applyAlignment="1">
      <alignment horizontal="center" vertical="center"/>
    </xf>
    <xf numFmtId="177" fontId="25" fillId="3" borderId="1" xfId="0" applyNumberFormat="1" applyFont="1" applyFill="1" applyBorder="1" applyAlignment="1">
      <alignment horizontal="center" vertical="center"/>
    </xf>
    <xf numFmtId="3" fontId="25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7" fillId="2" borderId="0" xfId="0" applyFont="1" applyFill="1" applyAlignment="1"/>
    <xf numFmtId="0" fontId="14" fillId="7" borderId="1" xfId="0" applyFont="1" applyFill="1" applyBorder="1" applyAlignment="1"/>
    <xf numFmtId="0" fontId="14" fillId="10" borderId="1" xfId="0" applyFont="1" applyFill="1" applyBorder="1" applyAlignment="1"/>
    <xf numFmtId="0" fontId="14" fillId="11" borderId="1" xfId="0" applyFont="1" applyFill="1" applyBorder="1" applyAlignment="1"/>
    <xf numFmtId="0" fontId="14" fillId="12" borderId="1" xfId="0" applyFont="1" applyFill="1" applyBorder="1" applyAlignment="1"/>
    <xf numFmtId="0" fontId="14" fillId="13" borderId="1" xfId="0" applyFont="1" applyFill="1" applyBorder="1" applyAlignment="1"/>
    <xf numFmtId="0" fontId="14" fillId="15" borderId="1" xfId="0" applyFont="1" applyFill="1" applyBorder="1" applyAlignment="1"/>
    <xf numFmtId="0" fontId="19" fillId="16" borderId="0" xfId="0" applyFont="1" applyFill="1" applyAlignment="1"/>
    <xf numFmtId="0" fontId="6" fillId="0" borderId="0" xfId="0" applyFont="1" applyAlignme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B2A4A"/>
      <rgbColor rgb="FF808000"/>
      <rgbColor rgb="FF800080"/>
      <rgbColor rgb="FF117A65"/>
      <rgbColor rgb="FFB0B0B0"/>
      <rgbColor rgb="FF888888"/>
      <rgbColor rgb="FF8FBBDA"/>
      <rgbColor rgb="FF993366"/>
      <rgbColor rgb="FFF2F2F2"/>
      <rgbColor rgb="FFDAEEF7"/>
      <rgbColor rgb="FF5B2C6F"/>
      <rgbColor rgb="FFFF8080"/>
      <rgbColor rgb="FF1B4F72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2"/>
      <rgbColor rgb="FFD5F5E3"/>
      <rgbColor rgb="FFD6E4F0"/>
      <rgbColor rgb="FFAACCDD"/>
      <rgbColor rgb="FFFF99CC"/>
      <rgbColor rgb="FFCC99FF"/>
      <rgbColor rgb="FFE0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2E86AB"/>
      <rgbColor rgb="FF0D1B2A"/>
      <rgbColor rgb="FF3B1F2B"/>
      <rgbColor rgb="FFC73E1D"/>
      <rgbColor rgb="FF993366"/>
      <rgbColor rgb="FF243B5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C34E-3B80-497B-B8BE-D722EDD9E52E}">
  <sheetPr>
    <pageSetUpPr fitToPage="1"/>
  </sheetPr>
  <dimension ref="A1:V130"/>
  <sheetViews>
    <sheetView tabSelected="1" topLeftCell="A24" zoomScaleNormal="100" workbookViewId="0">
      <pane xSplit="5" topLeftCell="F16" activePane="topRight" state="frozen"/>
      <selection pane="topRight" activeCell="I42" sqref="I42"/>
      <selection activeCell="A24" sqref="A24"/>
    </sheetView>
  </sheetViews>
  <sheetFormatPr defaultColWidth="8.5703125" defaultRowHeight="14.45"/>
  <cols>
    <col min="1" max="1" width="14" customWidth="1"/>
    <col min="2" max="2" width="22" customWidth="1"/>
    <col min="3" max="3" width="36" customWidth="1"/>
    <col min="4" max="4" width="8" customWidth="1"/>
    <col min="5" max="5" width="12" customWidth="1"/>
    <col min="6" max="12" width="14" customWidth="1"/>
    <col min="16" max="16" width="9.7109375" bestFit="1" customWidth="1"/>
  </cols>
  <sheetData>
    <row r="1" spans="1:12" ht="43.5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21.75" customHeight="1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2" t="s">
        <v>2</v>
      </c>
      <c r="B3" s="3">
        <v>90</v>
      </c>
      <c r="C3" s="1" t="s">
        <v>3</v>
      </c>
    </row>
    <row r="4" spans="1:12" ht="30" customHeight="1">
      <c r="A4" s="81" t="s">
        <v>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21.75" customHeight="1">
      <c r="A5" s="4"/>
      <c r="B5" s="4"/>
      <c r="C5" s="4" t="s">
        <v>5</v>
      </c>
      <c r="D5" s="4" t="s">
        <v>6</v>
      </c>
      <c r="E5" s="4"/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</row>
    <row r="6" spans="1:12" ht="21.75" customHeight="1">
      <c r="A6" s="5"/>
      <c r="B6" s="6" t="s">
        <v>14</v>
      </c>
      <c r="C6" s="7" t="s">
        <v>15</v>
      </c>
      <c r="D6" s="8" t="s">
        <v>16</v>
      </c>
      <c r="E6" s="5"/>
      <c r="F6" s="9">
        <f t="shared" ref="F6:K6" si="0">F25</f>
        <v>250</v>
      </c>
      <c r="G6" s="9">
        <f t="shared" si="0"/>
        <v>417.5</v>
      </c>
      <c r="H6" s="9">
        <f t="shared" si="0"/>
        <v>563.22500000000002</v>
      </c>
      <c r="I6" s="9">
        <f t="shared" si="0"/>
        <v>690.00575000000003</v>
      </c>
      <c r="J6" s="9">
        <f t="shared" si="0"/>
        <v>800.3050025</v>
      </c>
      <c r="K6" s="9">
        <f t="shared" si="0"/>
        <v>896.26535217499998</v>
      </c>
      <c r="L6" s="9">
        <f t="shared" ref="L6:L14" si="1">SUM(F6:K6)</f>
        <v>3617.3011046749998</v>
      </c>
    </row>
    <row r="7" spans="1:12" ht="21.75" customHeight="1">
      <c r="A7" s="5"/>
      <c r="B7" s="6"/>
      <c r="C7" s="7" t="s">
        <v>17</v>
      </c>
      <c r="D7" s="8" t="s">
        <v>16</v>
      </c>
      <c r="E7" s="5"/>
      <c r="F7" s="9">
        <f t="shared" ref="F7:K7" si="2">F30</f>
        <v>2500</v>
      </c>
      <c r="G7" s="9">
        <f t="shared" si="2"/>
        <v>5010</v>
      </c>
      <c r="H7" s="9">
        <f t="shared" si="2"/>
        <v>8448.375</v>
      </c>
      <c r="I7" s="9">
        <f t="shared" si="2"/>
        <v>8330.0689999999995</v>
      </c>
      <c r="J7" s="9">
        <f t="shared" si="2"/>
        <v>8053.0500250000005</v>
      </c>
      <c r="K7" s="9">
        <f t="shared" si="2"/>
        <v>9012.6535217500004</v>
      </c>
      <c r="L7" s="9">
        <f t="shared" si="1"/>
        <v>41354.147546749999</v>
      </c>
    </row>
    <row r="8" spans="1:12" ht="21.75" customHeight="1">
      <c r="A8" s="5"/>
      <c r="B8" s="6"/>
      <c r="C8" s="7" t="s">
        <v>18</v>
      </c>
      <c r="D8" s="8" t="s">
        <v>19</v>
      </c>
      <c r="E8" s="5"/>
      <c r="F8" s="10">
        <f t="shared" ref="F8:K8" si="3">F38</f>
        <v>15722.222222222223</v>
      </c>
      <c r="G8" s="10">
        <f t="shared" si="3"/>
        <v>24555.555555555555</v>
      </c>
      <c r="H8" s="10">
        <f t="shared" si="3"/>
        <v>34161.25</v>
      </c>
      <c r="I8" s="10">
        <f t="shared" si="3"/>
        <v>22666.794444444444</v>
      </c>
      <c r="J8" s="10">
        <f t="shared" si="3"/>
        <v>26451.222277777775</v>
      </c>
      <c r="K8" s="10">
        <f t="shared" si="3"/>
        <v>29917.007826111112</v>
      </c>
      <c r="L8" s="10">
        <f t="shared" si="1"/>
        <v>153474.05232611112</v>
      </c>
    </row>
    <row r="9" spans="1:12" ht="21.75" customHeight="1">
      <c r="A9" s="5"/>
      <c r="B9" s="6"/>
      <c r="C9" s="7" t="s">
        <v>20</v>
      </c>
      <c r="D9" s="8" t="s">
        <v>19</v>
      </c>
      <c r="E9" s="5"/>
      <c r="F9" s="10">
        <f t="shared" ref="F9:K9" si="4">F48</f>
        <v>5555.5555555555557</v>
      </c>
      <c r="G9" s="10">
        <f t="shared" si="4"/>
        <v>17201.388888888891</v>
      </c>
      <c r="H9" s="10">
        <f t="shared" si="4"/>
        <v>23531.513888888891</v>
      </c>
      <c r="I9" s="10">
        <f t="shared" si="4"/>
        <v>25527.953472222223</v>
      </c>
      <c r="J9" s="10">
        <f t="shared" si="4"/>
        <v>31565.891751388885</v>
      </c>
      <c r="K9" s="10">
        <f t="shared" si="4"/>
        <v>34817.88137926389</v>
      </c>
      <c r="L9" s="10">
        <f t="shared" si="1"/>
        <v>138200.18493620833</v>
      </c>
    </row>
    <row r="10" spans="1:12" ht="21.75" customHeight="1">
      <c r="A10" s="5"/>
      <c r="B10" s="6"/>
      <c r="C10" s="7" t="s">
        <v>21</v>
      </c>
      <c r="D10" s="8" t="s">
        <v>19</v>
      </c>
      <c r="E10" s="5"/>
      <c r="F10" s="10">
        <f t="shared" ref="F10:K10" si="5">F50</f>
        <v>21277.777777777777</v>
      </c>
      <c r="G10" s="10">
        <f t="shared" si="5"/>
        <v>41756.944444444445</v>
      </c>
      <c r="H10" s="10">
        <f t="shared" si="5"/>
        <v>57692.763888888891</v>
      </c>
      <c r="I10" s="10">
        <f t="shared" si="5"/>
        <v>48194.747916666667</v>
      </c>
      <c r="J10" s="10">
        <f t="shared" si="5"/>
        <v>58017.11402916666</v>
      </c>
      <c r="K10" s="10">
        <f t="shared" si="5"/>
        <v>64734.889205375002</v>
      </c>
      <c r="L10" s="10">
        <f t="shared" si="1"/>
        <v>291674.23726231942</v>
      </c>
    </row>
    <row r="11" spans="1:12" ht="21.75" customHeight="1">
      <c r="A11" s="5"/>
      <c r="B11" s="6" t="s">
        <v>22</v>
      </c>
      <c r="C11" s="7" t="s">
        <v>23</v>
      </c>
      <c r="D11" s="8" t="s">
        <v>16</v>
      </c>
      <c r="E11" s="5"/>
      <c r="F11" s="9">
        <f t="shared" ref="F11:K11" si="6">F52</f>
        <v>12000</v>
      </c>
      <c r="G11" s="9">
        <f t="shared" si="6"/>
        <v>25000</v>
      </c>
      <c r="H11" s="9">
        <f t="shared" si="6"/>
        <v>49371</v>
      </c>
      <c r="I11" s="9">
        <f t="shared" si="6"/>
        <v>120000</v>
      </c>
      <c r="J11" s="9">
        <f t="shared" si="6"/>
        <v>220000</v>
      </c>
      <c r="K11" s="9">
        <f t="shared" si="6"/>
        <v>330000</v>
      </c>
      <c r="L11" s="9">
        <f>K11</f>
        <v>330000</v>
      </c>
    </row>
    <row r="12" spans="1:12" ht="21.75" customHeight="1">
      <c r="A12" s="5"/>
      <c r="B12" s="6"/>
      <c r="C12" s="7" t="s">
        <v>24</v>
      </c>
      <c r="D12" s="8" t="s">
        <v>16</v>
      </c>
      <c r="E12" s="5"/>
      <c r="F12" s="9">
        <f t="shared" ref="F12:K12" si="7">F59</f>
        <v>0</v>
      </c>
      <c r="G12" s="9">
        <f t="shared" si="7"/>
        <v>0</v>
      </c>
      <c r="H12" s="9">
        <f t="shared" si="7"/>
        <v>4937</v>
      </c>
      <c r="I12" s="9">
        <f t="shared" si="7"/>
        <v>24000</v>
      </c>
      <c r="J12" s="9">
        <f t="shared" si="7"/>
        <v>66000</v>
      </c>
      <c r="K12" s="9">
        <f t="shared" si="7"/>
        <v>99000</v>
      </c>
      <c r="L12" s="9">
        <f t="shared" si="1"/>
        <v>193937</v>
      </c>
    </row>
    <row r="13" spans="1:12" ht="21.75" customHeight="1">
      <c r="A13" s="5"/>
      <c r="B13" s="6"/>
      <c r="C13" s="7" t="s">
        <v>25</v>
      </c>
      <c r="D13" s="8" t="s">
        <v>19</v>
      </c>
      <c r="E13" s="5"/>
      <c r="F13" s="10">
        <f t="shared" ref="F13:K13" si="8">F61</f>
        <v>0</v>
      </c>
      <c r="G13" s="10">
        <f t="shared" si="8"/>
        <v>0</v>
      </c>
      <c r="H13" s="10">
        <f t="shared" si="8"/>
        <v>4443.3</v>
      </c>
      <c r="I13" s="10">
        <f t="shared" si="8"/>
        <v>19200</v>
      </c>
      <c r="J13" s="10">
        <f t="shared" si="8"/>
        <v>46200</v>
      </c>
      <c r="K13" s="10">
        <f t="shared" si="8"/>
        <v>59400</v>
      </c>
      <c r="L13" s="10">
        <f t="shared" si="1"/>
        <v>129243.3</v>
      </c>
    </row>
    <row r="14" spans="1:12" ht="21.75" customHeight="1">
      <c r="A14" s="5"/>
      <c r="B14" s="6" t="s">
        <v>26</v>
      </c>
      <c r="C14" s="7" t="s">
        <v>27</v>
      </c>
      <c r="D14" s="8" t="s">
        <v>16</v>
      </c>
      <c r="E14" s="5"/>
      <c r="F14" s="9">
        <f t="shared" ref="F14:K14" si="9">F68</f>
        <v>112000</v>
      </c>
      <c r="G14" s="9">
        <f t="shared" si="9"/>
        <v>240480</v>
      </c>
      <c r="H14" s="9">
        <f t="shared" si="9"/>
        <v>432557</v>
      </c>
      <c r="I14" s="9">
        <f t="shared" si="9"/>
        <v>453156</v>
      </c>
      <c r="J14" s="9">
        <f t="shared" si="9"/>
        <v>463856</v>
      </c>
      <c r="K14" s="9">
        <f t="shared" si="9"/>
        <v>461448</v>
      </c>
      <c r="L14" s="9">
        <f t="shared" si="1"/>
        <v>2163497</v>
      </c>
    </row>
    <row r="15" spans="1:12" ht="21.75" customHeight="1">
      <c r="A15" s="5"/>
      <c r="B15" s="6"/>
      <c r="C15" s="7" t="s">
        <v>28</v>
      </c>
      <c r="D15" s="8" t="s">
        <v>29</v>
      </c>
      <c r="E15" s="5"/>
      <c r="F15" s="11">
        <f>F66</f>
        <v>0.7</v>
      </c>
      <c r="G15" s="11">
        <f>G66</f>
        <v>0.75</v>
      </c>
      <c r="H15" s="11">
        <f>H66</f>
        <v>0.8</v>
      </c>
      <c r="I15" s="11">
        <f>I66</f>
        <v>0.85</v>
      </c>
      <c r="J15" s="11">
        <f>J66</f>
        <v>0.9</v>
      </c>
      <c r="K15" s="11">
        <f>K66</f>
        <v>0.8</v>
      </c>
      <c r="L15" s="11">
        <f>AVERAGE(F15:K15)</f>
        <v>0.79999999999999993</v>
      </c>
    </row>
    <row r="16" spans="1:12" ht="21.75" customHeight="1">
      <c r="A16" s="5"/>
      <c r="B16" s="6"/>
      <c r="C16" s="7" t="s">
        <v>30</v>
      </c>
      <c r="D16" s="8" t="s">
        <v>16</v>
      </c>
      <c r="E16" s="5"/>
      <c r="F16" s="9">
        <f t="shared" ref="F16:K16" si="10">F69</f>
        <v>44.8</v>
      </c>
      <c r="G16" s="9">
        <f t="shared" si="10"/>
        <v>48</v>
      </c>
      <c r="H16" s="9">
        <f t="shared" si="10"/>
        <v>51.200023673191588</v>
      </c>
      <c r="I16" s="9">
        <f t="shared" si="10"/>
        <v>54.400029579586921</v>
      </c>
      <c r="J16" s="9">
        <f t="shared" si="10"/>
        <v>57.60003955768299</v>
      </c>
      <c r="K16" s="9">
        <f t="shared" si="10"/>
        <v>51.20001549892045</v>
      </c>
      <c r="L16" s="9">
        <f>SUM(F16:K16)</f>
        <v>307.2001083093819</v>
      </c>
    </row>
    <row r="17" spans="1:14" ht="21.75" hidden="1" customHeight="1">
      <c r="A17" s="5"/>
      <c r="B17" s="6" t="s">
        <v>31</v>
      </c>
      <c r="C17" s="7" t="s">
        <v>32</v>
      </c>
      <c r="D17" s="8" t="s">
        <v>19</v>
      </c>
      <c r="E17" s="5"/>
      <c r="F17" s="10">
        <f t="shared" ref="F17:K17" si="11">F98</f>
        <v>49</v>
      </c>
      <c r="G17" s="10">
        <f t="shared" si="11"/>
        <v>238</v>
      </c>
      <c r="H17" s="10">
        <f t="shared" si="11"/>
        <v>786</v>
      </c>
      <c r="I17" s="10">
        <f t="shared" si="11"/>
        <v>2418</v>
      </c>
      <c r="J17" s="10">
        <f t="shared" si="11"/>
        <v>8076</v>
      </c>
      <c r="K17" s="10">
        <f t="shared" si="11"/>
        <v>12751</v>
      </c>
      <c r="L17" s="10">
        <f>SUM(F17:K17)</f>
        <v>24318</v>
      </c>
    </row>
    <row r="18" spans="1:14" ht="21.75" hidden="1" customHeight="1">
      <c r="A18" s="5"/>
      <c r="B18" s="6"/>
      <c r="C18" s="7" t="s">
        <v>33</v>
      </c>
      <c r="D18" s="8" t="s">
        <v>19</v>
      </c>
      <c r="E18" s="5"/>
      <c r="F18" s="10">
        <f t="shared" ref="F18:K18" si="12">F103</f>
        <v>49</v>
      </c>
      <c r="G18" s="10">
        <f t="shared" si="12"/>
        <v>238</v>
      </c>
      <c r="H18" s="10">
        <f t="shared" si="12"/>
        <v>5786</v>
      </c>
      <c r="I18" s="10">
        <f t="shared" si="12"/>
        <v>12418</v>
      </c>
      <c r="J18" s="10">
        <f t="shared" si="12"/>
        <v>23576</v>
      </c>
      <c r="K18" s="10">
        <f t="shared" si="12"/>
        <v>39751</v>
      </c>
      <c r="L18" s="10">
        <f>SUM(F18:K18)</f>
        <v>81818</v>
      </c>
    </row>
    <row r="19" spans="1:14" ht="21.75" customHeight="1">
      <c r="A19" s="5"/>
      <c r="B19" s="6" t="s">
        <v>34</v>
      </c>
      <c r="C19" s="7" t="s">
        <v>35</v>
      </c>
      <c r="D19" s="8" t="s">
        <v>19</v>
      </c>
      <c r="E19" s="5"/>
      <c r="F19" s="10">
        <f t="shared" ref="F19:K19" si="13">F87</f>
        <v>26277.777777777777</v>
      </c>
      <c r="G19" s="10">
        <f t="shared" si="13"/>
        <v>44756.944444444445</v>
      </c>
      <c r="H19" s="10">
        <f t="shared" si="13"/>
        <v>101136.06388888889</v>
      </c>
      <c r="I19" s="10">
        <f t="shared" si="13"/>
        <v>114394.74791666667</v>
      </c>
      <c r="J19" s="10">
        <f t="shared" si="13"/>
        <v>146217.11402916667</v>
      </c>
      <c r="K19" s="10">
        <f t="shared" si="13"/>
        <v>131134.88920537499</v>
      </c>
      <c r="L19" s="10">
        <f>SUM(F19:K19)</f>
        <v>563917.53726231947</v>
      </c>
    </row>
    <row r="20" spans="1:14" ht="21.75" customHeight="1">
      <c r="A20" s="5"/>
      <c r="B20" s="6"/>
      <c r="C20" s="7" t="s">
        <v>36</v>
      </c>
      <c r="D20" s="8" t="s">
        <v>19</v>
      </c>
      <c r="E20" s="5"/>
      <c r="F20" s="74">
        <f t="shared" ref="F20:K20" si="14">F105</f>
        <v>2.1898148148148149</v>
      </c>
      <c r="G20" s="74">
        <f t="shared" si="14"/>
        <v>1.7902777777777779</v>
      </c>
      <c r="H20" s="74">
        <f t="shared" si="14"/>
        <v>2.0484912983105241</v>
      </c>
      <c r="I20" s="74">
        <f t="shared" si="14"/>
        <v>0.95328956597222225</v>
      </c>
      <c r="J20" s="74">
        <f t="shared" si="14"/>
        <v>0.66462324558712116</v>
      </c>
      <c r="K20" s="74">
        <f t="shared" si="14"/>
        <v>0.39737845213749995</v>
      </c>
      <c r="L20" s="74">
        <f>SUM(F20:K20)</f>
        <v>8.0438751545999612</v>
      </c>
    </row>
    <row r="21" spans="1:14" ht="21.75" customHeight="1">
      <c r="A21" s="5"/>
      <c r="B21" s="6"/>
      <c r="C21" s="7" t="s">
        <v>37</v>
      </c>
      <c r="D21" s="8" t="s">
        <v>38</v>
      </c>
      <c r="E21" s="5"/>
      <c r="F21" s="12">
        <f t="shared" ref="F21:K21" si="15">F108</f>
        <v>1.864693446088795E-3</v>
      </c>
      <c r="G21" s="12">
        <f t="shared" si="15"/>
        <v>5.3176105508145844E-3</v>
      </c>
      <c r="H21" s="12">
        <f t="shared" si="15"/>
        <v>5.7210057199345556E-2</v>
      </c>
      <c r="I21" s="12">
        <f t="shared" si="15"/>
        <v>0.10855393474048441</v>
      </c>
      <c r="J21" s="12">
        <f t="shared" si="15"/>
        <v>0.1612396753727281</v>
      </c>
      <c r="K21" s="12">
        <f t="shared" si="15"/>
        <v>0.3031306179528207</v>
      </c>
      <c r="L21" s="12">
        <f>AVERAGE(F21:K21)</f>
        <v>0.10621943154371367</v>
      </c>
    </row>
    <row r="23" spans="1:14" ht="27.75" customHeight="1">
      <c r="A23" s="13" t="s">
        <v>39</v>
      </c>
      <c r="B23" s="13" t="s">
        <v>40</v>
      </c>
      <c r="C23" s="13" t="s">
        <v>5</v>
      </c>
      <c r="D23" s="13" t="s">
        <v>6</v>
      </c>
      <c r="E23" s="13" t="s">
        <v>41</v>
      </c>
      <c r="F23" s="13" t="s">
        <v>7</v>
      </c>
      <c r="G23" s="13" t="s">
        <v>8</v>
      </c>
      <c r="H23" s="13" t="s">
        <v>9</v>
      </c>
      <c r="I23" s="13" t="s">
        <v>10</v>
      </c>
      <c r="J23" s="13" t="s">
        <v>11</v>
      </c>
      <c r="K23" s="13" t="s">
        <v>12</v>
      </c>
      <c r="L23" s="13" t="s">
        <v>13</v>
      </c>
    </row>
    <row r="24" spans="1:14" ht="27.75" customHeight="1">
      <c r="A24" s="82" t="s">
        <v>42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</row>
    <row r="25" spans="1:14">
      <c r="A25" s="14" t="s">
        <v>14</v>
      </c>
      <c r="B25" s="15" t="s">
        <v>43</v>
      </c>
      <c r="C25" s="16" t="s">
        <v>44</v>
      </c>
      <c r="D25" s="17" t="s">
        <v>16</v>
      </c>
      <c r="E25" s="18" t="s">
        <v>45</v>
      </c>
      <c r="F25" s="19">
        <f>+F27</f>
        <v>250</v>
      </c>
      <c r="G25" s="62">
        <f>F25*G26+G27</f>
        <v>417.5</v>
      </c>
      <c r="H25" s="62">
        <f t="shared" ref="H25:K25" si="16">G25*H26+H27</f>
        <v>563.22500000000002</v>
      </c>
      <c r="I25" s="62">
        <f t="shared" si="16"/>
        <v>690.00575000000003</v>
      </c>
      <c r="J25" s="62">
        <f t="shared" si="16"/>
        <v>800.3050025</v>
      </c>
      <c r="K25" s="62">
        <f t="shared" si="16"/>
        <v>896.26535217499998</v>
      </c>
      <c r="L25" s="20"/>
    </row>
    <row r="26" spans="1:14">
      <c r="A26" s="14"/>
      <c r="B26" s="14"/>
      <c r="C26" s="68" t="s">
        <v>46</v>
      </c>
      <c r="D26" s="17" t="s">
        <v>29</v>
      </c>
      <c r="E26" s="18"/>
      <c r="F26" s="19"/>
      <c r="G26" s="76">
        <v>0.87</v>
      </c>
      <c r="H26" s="76">
        <v>0.87</v>
      </c>
      <c r="I26" s="76">
        <v>0.87</v>
      </c>
      <c r="J26" s="76">
        <v>0.87</v>
      </c>
      <c r="K26" s="76">
        <v>0.87</v>
      </c>
      <c r="L26" s="20"/>
    </row>
    <row r="27" spans="1:14">
      <c r="A27" s="14"/>
      <c r="B27" s="14"/>
      <c r="C27" s="68" t="s">
        <v>47</v>
      </c>
      <c r="D27" s="17" t="s">
        <v>16</v>
      </c>
      <c r="E27" s="18" t="s">
        <v>45</v>
      </c>
      <c r="F27" s="19">
        <v>250</v>
      </c>
      <c r="G27" s="19">
        <v>200</v>
      </c>
      <c r="H27" s="19">
        <v>200</v>
      </c>
      <c r="I27" s="19">
        <v>200</v>
      </c>
      <c r="J27" s="19">
        <v>200</v>
      </c>
      <c r="K27" s="19">
        <v>200</v>
      </c>
      <c r="L27" s="20"/>
    </row>
    <row r="28" spans="1:14">
      <c r="A28" s="14"/>
      <c r="B28" s="21"/>
      <c r="C28" s="16" t="s">
        <v>48</v>
      </c>
      <c r="D28" s="17" t="s">
        <v>16</v>
      </c>
      <c r="E28" s="18" t="s">
        <v>45</v>
      </c>
      <c r="F28" s="19">
        <v>10</v>
      </c>
      <c r="G28" s="19">
        <v>12</v>
      </c>
      <c r="H28" s="19">
        <v>15</v>
      </c>
      <c r="I28" s="19">
        <v>12</v>
      </c>
      <c r="J28" s="19">
        <v>10</v>
      </c>
      <c r="K28" s="19">
        <v>10</v>
      </c>
      <c r="L28" s="20"/>
    </row>
    <row r="29" spans="1:14">
      <c r="A29" s="14"/>
      <c r="B29" s="21"/>
      <c r="C29" s="16" t="s">
        <v>49</v>
      </c>
      <c r="D29" s="17" t="s">
        <v>16</v>
      </c>
      <c r="E29" s="18" t="s">
        <v>50</v>
      </c>
      <c r="F29" s="19"/>
      <c r="G29" s="19"/>
      <c r="H29" s="19"/>
      <c r="I29" s="19">
        <v>50</v>
      </c>
      <c r="J29" s="19">
        <v>50</v>
      </c>
      <c r="K29" s="19">
        <v>50</v>
      </c>
      <c r="L29" s="20"/>
    </row>
    <row r="30" spans="1:14">
      <c r="A30" s="14"/>
      <c r="B30" s="21"/>
      <c r="C30" s="16" t="s">
        <v>51</v>
      </c>
      <c r="D30" s="17" t="s">
        <v>16</v>
      </c>
      <c r="E30" s="18"/>
      <c r="F30" s="22">
        <f>F25*F28+F29</f>
        <v>2500</v>
      </c>
      <c r="G30" s="22">
        <f t="shared" ref="G30:K30" si="17">G25*G28+G29</f>
        <v>5010</v>
      </c>
      <c r="H30" s="22">
        <f t="shared" si="17"/>
        <v>8448.375</v>
      </c>
      <c r="I30" s="22">
        <f t="shared" si="17"/>
        <v>8330.0689999999995</v>
      </c>
      <c r="J30" s="22">
        <f t="shared" si="17"/>
        <v>8053.0500250000005</v>
      </c>
      <c r="K30" s="22">
        <f t="shared" si="17"/>
        <v>9012.6535217500004</v>
      </c>
      <c r="L30" s="23">
        <f>SUM(F30:K30)</f>
        <v>41354.147546749999</v>
      </c>
    </row>
    <row r="31" spans="1:14">
      <c r="A31" s="14"/>
      <c r="B31" s="15" t="s">
        <v>52</v>
      </c>
      <c r="C31" s="16" t="s">
        <v>53</v>
      </c>
      <c r="D31" s="17" t="s">
        <v>54</v>
      </c>
      <c r="E31" s="18" t="s">
        <v>55</v>
      </c>
      <c r="F31" s="24">
        <v>3500</v>
      </c>
      <c r="G31" s="24">
        <v>4000</v>
      </c>
      <c r="H31" s="24">
        <v>4500</v>
      </c>
      <c r="I31" s="24">
        <v>2000</v>
      </c>
      <c r="J31" s="24">
        <v>2000</v>
      </c>
      <c r="K31" s="24">
        <v>2000</v>
      </c>
      <c r="L31" s="25"/>
      <c r="N31" t="s">
        <v>56</v>
      </c>
    </row>
    <row r="32" spans="1:14">
      <c r="A32" s="14"/>
      <c r="B32" s="21"/>
      <c r="C32" s="16" t="s">
        <v>57</v>
      </c>
      <c r="D32" s="17" t="s">
        <v>54</v>
      </c>
      <c r="E32" s="18"/>
      <c r="F32" s="26">
        <f t="shared" ref="F32:K32" si="18">F25*F31</f>
        <v>875000</v>
      </c>
      <c r="G32" s="26">
        <f t="shared" si="18"/>
        <v>1670000</v>
      </c>
      <c r="H32" s="26">
        <f t="shared" si="18"/>
        <v>2534512.5</v>
      </c>
      <c r="I32" s="26">
        <f t="shared" si="18"/>
        <v>1380011.5</v>
      </c>
      <c r="J32" s="26">
        <f t="shared" si="18"/>
        <v>1600610.0049999999</v>
      </c>
      <c r="K32" s="26">
        <f t="shared" si="18"/>
        <v>1792530.70435</v>
      </c>
      <c r="L32" s="27">
        <f>SUM(F32:K32)</f>
        <v>9852664.7093499992</v>
      </c>
    </row>
    <row r="33" spans="1:22">
      <c r="A33" s="14"/>
      <c r="B33" s="21"/>
      <c r="C33" s="16" t="s">
        <v>58</v>
      </c>
      <c r="D33" s="17" t="s">
        <v>19</v>
      </c>
      <c r="E33" s="18"/>
      <c r="F33" s="28">
        <f t="shared" ref="F33:K33" si="19">F32/$B$3</f>
        <v>9722.2222222222226</v>
      </c>
      <c r="G33" s="28">
        <f t="shared" si="19"/>
        <v>18555.555555555555</v>
      </c>
      <c r="H33" s="28">
        <f t="shared" si="19"/>
        <v>28161.25</v>
      </c>
      <c r="I33" s="28">
        <f t="shared" si="19"/>
        <v>15333.461111111112</v>
      </c>
      <c r="J33" s="28">
        <f t="shared" si="19"/>
        <v>17784.555611111111</v>
      </c>
      <c r="K33" s="28">
        <f t="shared" si="19"/>
        <v>19917.007826111112</v>
      </c>
      <c r="L33" s="29">
        <f>SUM(F33:K33)</f>
        <v>109474.05232611112</v>
      </c>
    </row>
    <row r="34" spans="1:22">
      <c r="A34" s="14"/>
      <c r="B34" s="15" t="s">
        <v>59</v>
      </c>
      <c r="C34" s="16" t="s">
        <v>60</v>
      </c>
      <c r="D34" s="17" t="s">
        <v>54</v>
      </c>
      <c r="E34" s="18" t="s">
        <v>61</v>
      </c>
      <c r="F34" s="24">
        <v>240000</v>
      </c>
      <c r="G34" s="24">
        <v>240000</v>
      </c>
      <c r="H34" s="24">
        <v>240000</v>
      </c>
      <c r="I34" s="24">
        <v>360000</v>
      </c>
      <c r="J34" s="24">
        <v>480000</v>
      </c>
      <c r="K34" s="24">
        <v>600000</v>
      </c>
      <c r="L34" s="25"/>
    </row>
    <row r="35" spans="1:22" ht="15" thickBot="1">
      <c r="A35" s="14"/>
      <c r="B35" s="21"/>
      <c r="C35" s="16" t="s">
        <v>62</v>
      </c>
      <c r="D35" s="17" t="s">
        <v>19</v>
      </c>
      <c r="E35" s="18"/>
      <c r="F35" s="28">
        <f t="shared" ref="F35:K35" si="20">F34/$B$3</f>
        <v>2666.6666666666665</v>
      </c>
      <c r="G35" s="28">
        <f t="shared" si="20"/>
        <v>2666.6666666666665</v>
      </c>
      <c r="H35" s="56">
        <f t="shared" si="20"/>
        <v>2666.6666666666665</v>
      </c>
      <c r="I35" s="28">
        <f t="shared" si="20"/>
        <v>4000</v>
      </c>
      <c r="J35" s="28">
        <f t="shared" si="20"/>
        <v>5333.333333333333</v>
      </c>
      <c r="K35" s="56">
        <f t="shared" si="20"/>
        <v>6666.666666666667</v>
      </c>
      <c r="L35" s="29">
        <f>SUM(F35:K35)</f>
        <v>24000</v>
      </c>
    </row>
    <row r="36" spans="1:22" ht="15" thickBot="1">
      <c r="A36" s="14"/>
      <c r="B36" s="15" t="s">
        <v>63</v>
      </c>
      <c r="C36" s="16" t="s">
        <v>64</v>
      </c>
      <c r="D36" s="17" t="s">
        <v>54</v>
      </c>
      <c r="E36" s="18" t="s">
        <v>65</v>
      </c>
      <c r="F36" s="24">
        <f>U41</f>
        <v>300000</v>
      </c>
      <c r="G36" s="54">
        <f>U41</f>
        <v>300000</v>
      </c>
      <c r="H36" s="58">
        <f>U41</f>
        <v>300000</v>
      </c>
      <c r="I36" s="55">
        <f>U41</f>
        <v>300000</v>
      </c>
      <c r="J36" s="54">
        <f>U41</f>
        <v>300000</v>
      </c>
      <c r="K36" s="58">
        <f>U41</f>
        <v>300000</v>
      </c>
      <c r="L36" s="59"/>
      <c r="N36" t="s">
        <v>66</v>
      </c>
    </row>
    <row r="37" spans="1:22">
      <c r="A37" s="14"/>
      <c r="B37" s="21"/>
      <c r="C37" s="16" t="s">
        <v>67</v>
      </c>
      <c r="D37" s="17" t="s">
        <v>19</v>
      </c>
      <c r="E37" s="18"/>
      <c r="F37" s="28">
        <f t="shared" ref="F37:K37" si="21">F36/$B$3</f>
        <v>3333.3333333333335</v>
      </c>
      <c r="G37" s="28">
        <f t="shared" si="21"/>
        <v>3333.3333333333335</v>
      </c>
      <c r="H37" s="57">
        <f t="shared" si="21"/>
        <v>3333.3333333333335</v>
      </c>
      <c r="I37" s="28">
        <f t="shared" si="21"/>
        <v>3333.3333333333335</v>
      </c>
      <c r="J37" s="28">
        <f t="shared" si="21"/>
        <v>3333.3333333333335</v>
      </c>
      <c r="K37" s="57">
        <f t="shared" si="21"/>
        <v>3333.3333333333335</v>
      </c>
      <c r="L37" s="29">
        <f>SUM(F37:K37)</f>
        <v>20000</v>
      </c>
      <c r="P37" s="51">
        <f>SUM(F36:K36)</f>
        <v>1800000</v>
      </c>
      <c r="R37" t="s">
        <v>68</v>
      </c>
      <c r="S37" t="s">
        <v>69</v>
      </c>
      <c r="T37" t="s">
        <v>70</v>
      </c>
      <c r="U37" t="s">
        <v>71</v>
      </c>
    </row>
    <row r="38" spans="1:22">
      <c r="A38" s="30"/>
      <c r="B38" s="31"/>
      <c r="C38" s="32" t="s">
        <v>72</v>
      </c>
      <c r="D38" s="33" t="s">
        <v>19</v>
      </c>
      <c r="E38" s="34"/>
      <c r="F38" s="35">
        <f t="shared" ref="F38:K38" si="22">F33+F35+F37</f>
        <v>15722.222222222223</v>
      </c>
      <c r="G38" s="35">
        <f t="shared" si="22"/>
        <v>24555.555555555555</v>
      </c>
      <c r="H38" s="35">
        <f t="shared" si="22"/>
        <v>34161.25</v>
      </c>
      <c r="I38" s="35">
        <f t="shared" si="22"/>
        <v>22666.794444444444</v>
      </c>
      <c r="J38" s="35">
        <f t="shared" si="22"/>
        <v>26451.222277777775</v>
      </c>
      <c r="K38" s="35">
        <f t="shared" si="22"/>
        <v>29917.007826111112</v>
      </c>
      <c r="L38" s="36">
        <f>SUM(F38:K38)</f>
        <v>153474.05232611112</v>
      </c>
      <c r="P38">
        <f>P37/B3</f>
        <v>20000</v>
      </c>
      <c r="R38" s="52">
        <v>50000</v>
      </c>
      <c r="S38">
        <v>3</v>
      </c>
      <c r="T38" s="52">
        <f>R38*S38</f>
        <v>150000</v>
      </c>
      <c r="U38" s="53">
        <f>T38/3</f>
        <v>50000</v>
      </c>
    </row>
    <row r="39" spans="1:22">
      <c r="A39" s="14"/>
      <c r="B39" s="21"/>
      <c r="C39" s="16" t="s">
        <v>73</v>
      </c>
      <c r="D39" s="17" t="s">
        <v>54</v>
      </c>
      <c r="E39" s="18" t="s">
        <v>74</v>
      </c>
      <c r="F39" s="26">
        <f t="shared" ref="F39:K39" si="23">6500+25000</f>
        <v>31500</v>
      </c>
      <c r="G39" s="26">
        <f t="shared" si="23"/>
        <v>31500</v>
      </c>
      <c r="H39" s="26">
        <f t="shared" si="23"/>
        <v>31500</v>
      </c>
      <c r="I39" s="26">
        <f t="shared" si="23"/>
        <v>31500</v>
      </c>
      <c r="J39" s="26">
        <f t="shared" si="23"/>
        <v>31500</v>
      </c>
      <c r="K39" s="26">
        <f t="shared" si="23"/>
        <v>31500</v>
      </c>
      <c r="L39" s="25"/>
      <c r="R39" s="52">
        <v>25000</v>
      </c>
      <c r="S39">
        <v>10</v>
      </c>
      <c r="T39" s="52">
        <f>R39*S39</f>
        <v>250000</v>
      </c>
      <c r="U39" s="53">
        <f>T39/3</f>
        <v>83333.333333333328</v>
      </c>
    </row>
    <row r="40" spans="1:22">
      <c r="A40" s="14"/>
      <c r="B40" s="21"/>
      <c r="C40" s="16" t="s">
        <v>75</v>
      </c>
      <c r="D40" s="17" t="s">
        <v>54</v>
      </c>
      <c r="E40" s="18"/>
      <c r="F40" s="26">
        <f t="shared" ref="F40:K40" si="24">IF(F25=0,"-",(F32+F34+F36)/F25)</f>
        <v>5660</v>
      </c>
      <c r="G40" s="26">
        <f t="shared" si="24"/>
        <v>5293.4131736526942</v>
      </c>
      <c r="H40" s="26">
        <f t="shared" si="24"/>
        <v>5458.7642593989967</v>
      </c>
      <c r="I40" s="26">
        <f t="shared" si="24"/>
        <v>2956.5137681823667</v>
      </c>
      <c r="J40" s="26">
        <f t="shared" si="24"/>
        <v>2974.628419869211</v>
      </c>
      <c r="K40" s="26">
        <f t="shared" si="24"/>
        <v>3004.1668996976591</v>
      </c>
      <c r="L40" s="25"/>
      <c r="R40" s="52">
        <v>10000</v>
      </c>
      <c r="S40">
        <v>50</v>
      </c>
      <c r="T40" s="52">
        <f>R40*S40</f>
        <v>500000</v>
      </c>
      <c r="U40" s="53">
        <f>T40/3</f>
        <v>166666.66666666666</v>
      </c>
    </row>
    <row r="41" spans="1:22">
      <c r="A41" s="14"/>
      <c r="B41" s="15" t="s">
        <v>20</v>
      </c>
      <c r="C41" s="60" t="s">
        <v>76</v>
      </c>
      <c r="D41" s="17" t="s">
        <v>54</v>
      </c>
      <c r="E41" s="18" t="s">
        <v>77</v>
      </c>
      <c r="F41" s="69">
        <f>F42*F25+F43</f>
        <v>500000</v>
      </c>
      <c r="G41" s="69">
        <f t="shared" ref="G41:K41" si="25">G42*G25+G43</f>
        <v>1235000</v>
      </c>
      <c r="H41" s="69">
        <f t="shared" si="25"/>
        <v>1526450</v>
      </c>
      <c r="I41" s="69">
        <f t="shared" si="25"/>
        <v>1780011.5</v>
      </c>
      <c r="J41" s="69">
        <f t="shared" si="25"/>
        <v>2000610.0049999999</v>
      </c>
      <c r="K41" s="69">
        <f t="shared" si="25"/>
        <v>2192530.7043500002</v>
      </c>
      <c r="L41" s="25"/>
      <c r="N41" t="s">
        <v>78</v>
      </c>
      <c r="T41" s="53">
        <f>SUM(T38:T40)</f>
        <v>900000</v>
      </c>
      <c r="U41" s="53">
        <f>SUM(U38:U40)</f>
        <v>300000</v>
      </c>
      <c r="V41" t="s">
        <v>79</v>
      </c>
    </row>
    <row r="42" spans="1:22">
      <c r="A42" s="14"/>
      <c r="B42" s="14"/>
      <c r="C42" s="67" t="s">
        <v>80</v>
      </c>
      <c r="D42" s="17" t="s">
        <v>54</v>
      </c>
      <c r="E42" s="18" t="s">
        <v>77</v>
      </c>
      <c r="F42" s="24">
        <v>2000</v>
      </c>
      <c r="G42" s="24">
        <v>2000</v>
      </c>
      <c r="H42" s="24">
        <v>2000</v>
      </c>
      <c r="I42" s="24">
        <v>2000</v>
      </c>
      <c r="J42" s="24">
        <v>2000</v>
      </c>
      <c r="K42" s="24">
        <v>2000</v>
      </c>
      <c r="L42" s="25"/>
      <c r="T42" s="53"/>
      <c r="U42" s="53"/>
    </row>
    <row r="43" spans="1:22" s="65" customFormat="1" ht="14.1">
      <c r="A43" s="63"/>
      <c r="B43" s="63"/>
      <c r="C43" s="67" t="s">
        <v>81</v>
      </c>
      <c r="D43" s="17" t="s">
        <v>54</v>
      </c>
      <c r="E43" s="18"/>
      <c r="F43" s="26"/>
      <c r="G43" s="26">
        <f>G27*G$42</f>
        <v>400000</v>
      </c>
      <c r="H43" s="26">
        <f t="shared" ref="H43:K43" si="26">H27*H$42</f>
        <v>400000</v>
      </c>
      <c r="I43" s="26">
        <f t="shared" si="26"/>
        <v>400000</v>
      </c>
      <c r="J43" s="26">
        <f t="shared" si="26"/>
        <v>400000</v>
      </c>
      <c r="K43" s="26">
        <f t="shared" si="26"/>
        <v>400000</v>
      </c>
      <c r="L43" s="64"/>
      <c r="T43" s="66"/>
      <c r="U43" s="66"/>
    </row>
    <row r="44" spans="1:22">
      <c r="A44" s="14"/>
      <c r="B44" s="21"/>
      <c r="C44" s="60" t="s">
        <v>82</v>
      </c>
      <c r="D44" s="17" t="s">
        <v>54</v>
      </c>
      <c r="E44" s="18" t="s">
        <v>77</v>
      </c>
      <c r="F44" s="26">
        <f>(F$25*F45*1500)+(F$25*F46*1500)</f>
        <v>0</v>
      </c>
      <c r="G44" s="26">
        <f t="shared" ref="G44:K44" si="27">(G$25*G45*1500)+(G$25*G46*1500)</f>
        <v>313125</v>
      </c>
      <c r="H44" s="26">
        <f t="shared" si="27"/>
        <v>591386.25</v>
      </c>
      <c r="I44" s="26">
        <f t="shared" si="27"/>
        <v>517504.31250000012</v>
      </c>
      <c r="J44" s="26">
        <f t="shared" si="27"/>
        <v>840320.25262499996</v>
      </c>
      <c r="K44" s="26">
        <f t="shared" si="27"/>
        <v>941078.61978375004</v>
      </c>
      <c r="L44" s="25"/>
      <c r="N44" t="s">
        <v>83</v>
      </c>
    </row>
    <row r="45" spans="1:22">
      <c r="A45" s="14"/>
      <c r="B45" s="21"/>
      <c r="C45" s="67" t="s">
        <v>84</v>
      </c>
      <c r="D45" s="17" t="s">
        <v>54</v>
      </c>
      <c r="E45" s="61" t="s">
        <v>29</v>
      </c>
      <c r="F45" s="37"/>
      <c r="G45" s="37">
        <v>0.4</v>
      </c>
      <c r="H45" s="37">
        <v>0.5</v>
      </c>
      <c r="I45" s="37">
        <v>0.4</v>
      </c>
      <c r="J45" s="37">
        <v>0.5</v>
      </c>
      <c r="K45" s="37">
        <v>0.5</v>
      </c>
      <c r="L45" s="25"/>
      <c r="O45" t="s">
        <v>85</v>
      </c>
    </row>
    <row r="46" spans="1:22">
      <c r="A46" s="14"/>
      <c r="B46" s="21"/>
      <c r="C46" s="67" t="s">
        <v>86</v>
      </c>
      <c r="D46" s="17" t="s">
        <v>54</v>
      </c>
      <c r="E46" s="61" t="s">
        <v>29</v>
      </c>
      <c r="F46" s="37"/>
      <c r="G46" s="37">
        <v>0.1</v>
      </c>
      <c r="H46" s="37">
        <v>0.2</v>
      </c>
      <c r="I46" s="37">
        <v>0.1</v>
      </c>
      <c r="J46" s="37">
        <v>0.2</v>
      </c>
      <c r="K46" s="37">
        <v>0.2</v>
      </c>
      <c r="L46" s="25"/>
      <c r="O46" t="s">
        <v>87</v>
      </c>
    </row>
    <row r="47" spans="1:22">
      <c r="A47" s="14"/>
      <c r="B47" s="21"/>
      <c r="C47" s="16" t="s">
        <v>88</v>
      </c>
      <c r="D47" s="17" t="s">
        <v>54</v>
      </c>
      <c r="E47" s="18"/>
      <c r="F47" s="26">
        <f>F41+F44</f>
        <v>500000</v>
      </c>
      <c r="G47" s="26">
        <f t="shared" ref="G47:K47" si="28">G41+G44</f>
        <v>1548125</v>
      </c>
      <c r="H47" s="26">
        <f t="shared" si="28"/>
        <v>2117836.25</v>
      </c>
      <c r="I47" s="26">
        <f t="shared" si="28"/>
        <v>2297515.8125</v>
      </c>
      <c r="J47" s="26">
        <f t="shared" si="28"/>
        <v>2840930.2576249996</v>
      </c>
      <c r="K47" s="26">
        <f t="shared" si="28"/>
        <v>3133609.3241337501</v>
      </c>
      <c r="L47" s="27">
        <f>SUM(F47:K47)</f>
        <v>12438016.644258749</v>
      </c>
    </row>
    <row r="48" spans="1:22">
      <c r="A48" s="14"/>
      <c r="B48" s="21"/>
      <c r="C48" s="16" t="s">
        <v>89</v>
      </c>
      <c r="D48" s="17" t="s">
        <v>19</v>
      </c>
      <c r="E48" s="18"/>
      <c r="F48" s="28">
        <f t="shared" ref="F48:K48" si="29">F47/$B$3</f>
        <v>5555.5555555555557</v>
      </c>
      <c r="G48" s="28">
        <f t="shared" si="29"/>
        <v>17201.388888888891</v>
      </c>
      <c r="H48" s="28">
        <f t="shared" si="29"/>
        <v>23531.513888888891</v>
      </c>
      <c r="I48" s="28">
        <f t="shared" si="29"/>
        <v>25527.953472222223</v>
      </c>
      <c r="J48" s="28">
        <f t="shared" si="29"/>
        <v>31565.891751388885</v>
      </c>
      <c r="K48" s="28">
        <f t="shared" si="29"/>
        <v>34817.88137926389</v>
      </c>
      <c r="L48" s="29">
        <f>SUM(F48:K48)</f>
        <v>138200.18493620833</v>
      </c>
    </row>
    <row r="49" spans="1:14">
      <c r="A49" s="14"/>
      <c r="B49" s="21"/>
      <c r="C49" s="16" t="s">
        <v>90</v>
      </c>
      <c r="D49" s="17" t="s">
        <v>54</v>
      </c>
      <c r="E49" s="18" t="s">
        <v>91</v>
      </c>
      <c r="F49" s="26">
        <f t="shared" ref="F49:K49" si="30">IF(F30=0,"-",F47/F30)</f>
        <v>200</v>
      </c>
      <c r="G49" s="26">
        <f t="shared" si="30"/>
        <v>309.00698602794409</v>
      </c>
      <c r="H49" s="26">
        <f t="shared" si="30"/>
        <v>250.67971651353071</v>
      </c>
      <c r="I49" s="26">
        <f t="shared" si="30"/>
        <v>275.80993776882281</v>
      </c>
      <c r="J49" s="26">
        <f t="shared" si="30"/>
        <v>352.77692908967117</v>
      </c>
      <c r="K49" s="26">
        <f t="shared" si="30"/>
        <v>347.68998015639818</v>
      </c>
      <c r="L49" s="25"/>
    </row>
    <row r="50" spans="1:14">
      <c r="A50" s="30"/>
      <c r="B50" s="31"/>
      <c r="C50" s="32" t="s">
        <v>92</v>
      </c>
      <c r="D50" s="33" t="s">
        <v>19</v>
      </c>
      <c r="E50" s="34"/>
      <c r="F50" s="35">
        <f t="shared" ref="F50:K50" si="31">F38+F48</f>
        <v>21277.777777777777</v>
      </c>
      <c r="G50" s="35">
        <f t="shared" si="31"/>
        <v>41756.944444444445</v>
      </c>
      <c r="H50" s="35">
        <f t="shared" si="31"/>
        <v>57692.763888888891</v>
      </c>
      <c r="I50" s="35">
        <f t="shared" si="31"/>
        <v>48194.747916666667</v>
      </c>
      <c r="J50" s="35">
        <f t="shared" si="31"/>
        <v>58017.11402916666</v>
      </c>
      <c r="K50" s="35">
        <f t="shared" si="31"/>
        <v>64734.889205375002</v>
      </c>
      <c r="L50" s="36">
        <f>SUM(F50:K50)</f>
        <v>291674.23726231942</v>
      </c>
    </row>
    <row r="51" spans="1:14" ht="27.75" customHeight="1">
      <c r="A51" s="83" t="s">
        <v>93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</row>
    <row r="52" spans="1:14">
      <c r="A52" s="14" t="s">
        <v>22</v>
      </c>
      <c r="B52" s="15" t="s">
        <v>94</v>
      </c>
      <c r="C52" s="16" t="s">
        <v>23</v>
      </c>
      <c r="D52" s="17" t="s">
        <v>16</v>
      </c>
      <c r="E52" s="18" t="s">
        <v>45</v>
      </c>
      <c r="F52" s="62">
        <v>12000</v>
      </c>
      <c r="G52" s="62">
        <v>25000</v>
      </c>
      <c r="H52" s="62">
        <v>49371</v>
      </c>
      <c r="I52" s="62">
        <v>120000</v>
      </c>
      <c r="J52" s="62">
        <v>220000</v>
      </c>
      <c r="K52" s="62">
        <v>330000</v>
      </c>
      <c r="L52" s="20"/>
      <c r="N52" t="s">
        <v>95</v>
      </c>
    </row>
    <row r="53" spans="1:14">
      <c r="A53" s="14"/>
      <c r="B53" s="14"/>
      <c r="C53" s="68" t="s">
        <v>96</v>
      </c>
      <c r="D53" s="17" t="s">
        <v>29</v>
      </c>
      <c r="E53" s="18"/>
      <c r="F53" s="75">
        <v>1</v>
      </c>
      <c r="G53" s="75"/>
      <c r="H53" s="75"/>
      <c r="I53" s="75"/>
      <c r="J53" s="75"/>
      <c r="K53" s="75"/>
      <c r="L53" s="20"/>
    </row>
    <row r="54" spans="1:14">
      <c r="A54" s="14"/>
      <c r="B54" s="14"/>
      <c r="C54" s="68" t="s">
        <v>97</v>
      </c>
      <c r="D54" s="17"/>
      <c r="E54" s="18"/>
      <c r="F54" s="62">
        <f>F55</f>
        <v>12500</v>
      </c>
      <c r="G54" s="62">
        <f>F54+G55</f>
        <v>22500</v>
      </c>
      <c r="H54" s="62">
        <f t="shared" ref="H54:K54" si="32">G54+H55</f>
        <v>32500</v>
      </c>
      <c r="I54" s="62">
        <f t="shared" si="32"/>
        <v>42500</v>
      </c>
      <c r="J54" s="62">
        <f t="shared" si="32"/>
        <v>52500</v>
      </c>
      <c r="K54" s="62">
        <f t="shared" si="32"/>
        <v>62500</v>
      </c>
      <c r="L54" s="20"/>
    </row>
    <row r="55" spans="1:14">
      <c r="A55" s="14"/>
      <c r="B55" s="14"/>
      <c r="C55" s="68" t="s">
        <v>98</v>
      </c>
      <c r="D55" s="17"/>
      <c r="E55" s="61" t="s">
        <v>99</v>
      </c>
      <c r="F55" s="78">
        <f>F27*50</f>
        <v>12500</v>
      </c>
      <c r="G55" s="78">
        <f t="shared" ref="G55:K55" si="33">G27*50</f>
        <v>10000</v>
      </c>
      <c r="H55" s="78">
        <f t="shared" si="33"/>
        <v>10000</v>
      </c>
      <c r="I55" s="78">
        <f t="shared" si="33"/>
        <v>10000</v>
      </c>
      <c r="J55" s="78">
        <f t="shared" si="33"/>
        <v>10000</v>
      </c>
      <c r="K55" s="78">
        <f t="shared" si="33"/>
        <v>10000</v>
      </c>
      <c r="L55" s="20"/>
    </row>
    <row r="56" spans="1:14">
      <c r="A56" s="14"/>
      <c r="B56" s="21"/>
      <c r="C56" s="68" t="s">
        <v>100</v>
      </c>
      <c r="D56" s="17" t="s">
        <v>29</v>
      </c>
      <c r="E56" s="18"/>
      <c r="F56" s="77">
        <v>0.15</v>
      </c>
      <c r="G56" s="37">
        <v>0.16</v>
      </c>
      <c r="H56" s="37">
        <v>0.17</v>
      </c>
      <c r="I56" s="37">
        <v>0.18</v>
      </c>
      <c r="J56" s="37">
        <v>0.19</v>
      </c>
      <c r="K56" s="37">
        <v>0.2</v>
      </c>
      <c r="L56" s="38"/>
    </row>
    <row r="57" spans="1:14">
      <c r="A57" s="14"/>
      <c r="B57" s="21"/>
      <c r="C57" s="68" t="s">
        <v>101</v>
      </c>
      <c r="D57" s="17" t="s">
        <v>16</v>
      </c>
      <c r="E57" s="18"/>
      <c r="F57" s="22">
        <f t="shared" ref="F57:K57" si="34">ROUND(F52*F56,0)</f>
        <v>1800</v>
      </c>
      <c r="G57" s="22">
        <f t="shared" si="34"/>
        <v>4000</v>
      </c>
      <c r="H57" s="22">
        <f t="shared" si="34"/>
        <v>8393</v>
      </c>
      <c r="I57" s="22">
        <f t="shared" si="34"/>
        <v>21600</v>
      </c>
      <c r="J57" s="22">
        <f t="shared" si="34"/>
        <v>41800</v>
      </c>
      <c r="K57" s="22">
        <f t="shared" si="34"/>
        <v>66000</v>
      </c>
      <c r="L57" s="23">
        <f>SUM(F57:K57)</f>
        <v>143593</v>
      </c>
    </row>
    <row r="58" spans="1:14">
      <c r="A58" s="14"/>
      <c r="B58" s="15" t="s">
        <v>102</v>
      </c>
      <c r="C58" s="16" t="s">
        <v>103</v>
      </c>
      <c r="D58" s="17" t="s">
        <v>29</v>
      </c>
      <c r="E58" s="18"/>
      <c r="F58" s="37">
        <v>0</v>
      </c>
      <c r="G58" s="37">
        <v>0</v>
      </c>
      <c r="H58" s="37">
        <v>0.1</v>
      </c>
      <c r="I58" s="37">
        <v>0.2</v>
      </c>
      <c r="J58" s="37">
        <v>0.3</v>
      </c>
      <c r="K58" s="37">
        <v>0.3</v>
      </c>
      <c r="L58" s="38"/>
    </row>
    <row r="59" spans="1:14">
      <c r="A59" s="14"/>
      <c r="B59" s="21"/>
      <c r="C59" s="16" t="s">
        <v>104</v>
      </c>
      <c r="D59" s="17" t="s">
        <v>16</v>
      </c>
      <c r="E59" s="18"/>
      <c r="F59" s="22">
        <f t="shared" ref="F59:K59" si="35">ROUND(F52*F58,0)</f>
        <v>0</v>
      </c>
      <c r="G59" s="22">
        <f t="shared" si="35"/>
        <v>0</v>
      </c>
      <c r="H59" s="22">
        <f t="shared" si="35"/>
        <v>4937</v>
      </c>
      <c r="I59" s="22">
        <f t="shared" si="35"/>
        <v>24000</v>
      </c>
      <c r="J59" s="22">
        <f t="shared" si="35"/>
        <v>66000</v>
      </c>
      <c r="K59" s="22">
        <f t="shared" si="35"/>
        <v>99000</v>
      </c>
      <c r="L59" s="23">
        <f>SUM(F59:K59)</f>
        <v>193937</v>
      </c>
    </row>
    <row r="60" spans="1:14">
      <c r="A60" s="14"/>
      <c r="B60" s="15" t="s">
        <v>105</v>
      </c>
      <c r="C60" s="16" t="s">
        <v>106</v>
      </c>
      <c r="D60" s="17" t="s">
        <v>19</v>
      </c>
      <c r="E60" s="18"/>
      <c r="F60" s="73">
        <v>0.2</v>
      </c>
      <c r="G60" s="73">
        <v>0.5</v>
      </c>
      <c r="H60" s="73">
        <v>0.9</v>
      </c>
      <c r="I60" s="73">
        <v>0.8</v>
      </c>
      <c r="J60" s="73">
        <v>0.7</v>
      </c>
      <c r="K60" s="73">
        <v>0.6</v>
      </c>
      <c r="L60" s="40"/>
    </row>
    <row r="61" spans="1:14">
      <c r="A61" s="14"/>
      <c r="B61" s="21"/>
      <c r="C61" s="16" t="s">
        <v>107</v>
      </c>
      <c r="D61" s="17" t="s">
        <v>19</v>
      </c>
      <c r="E61" s="18"/>
      <c r="F61" s="28">
        <f t="shared" ref="F61:K61" si="36">F59*F60</f>
        <v>0</v>
      </c>
      <c r="G61" s="28">
        <f t="shared" si="36"/>
        <v>0</v>
      </c>
      <c r="H61" s="28">
        <f t="shared" si="36"/>
        <v>4443.3</v>
      </c>
      <c r="I61" s="28">
        <f t="shared" si="36"/>
        <v>19200</v>
      </c>
      <c r="J61" s="28">
        <f t="shared" si="36"/>
        <v>46200</v>
      </c>
      <c r="K61" s="28">
        <f t="shared" si="36"/>
        <v>59400</v>
      </c>
      <c r="L61" s="29">
        <f>SUM(F61:K61)</f>
        <v>129243.3</v>
      </c>
    </row>
    <row r="62" spans="1:14">
      <c r="A62" s="14"/>
      <c r="B62" s="21"/>
      <c r="C62" s="16" t="s">
        <v>108</v>
      </c>
      <c r="D62" s="17" t="s">
        <v>19</v>
      </c>
      <c r="E62" s="18"/>
      <c r="F62" s="28">
        <f t="shared" ref="F62:K62" si="37">IF(F52=0,"-",F61/F52)</f>
        <v>0</v>
      </c>
      <c r="G62" s="28">
        <f t="shared" si="37"/>
        <v>0</v>
      </c>
      <c r="H62" s="28">
        <f t="shared" si="37"/>
        <v>8.9998177067509275E-2</v>
      </c>
      <c r="I62" s="28">
        <f t="shared" si="37"/>
        <v>0.16</v>
      </c>
      <c r="J62" s="28">
        <f t="shared" si="37"/>
        <v>0.21</v>
      </c>
      <c r="K62" s="28">
        <f t="shared" si="37"/>
        <v>0.18</v>
      </c>
      <c r="L62" s="40"/>
    </row>
    <row r="63" spans="1:14" ht="27.75" customHeight="1">
      <c r="A63" s="84" t="s">
        <v>109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</row>
    <row r="64" spans="1:14">
      <c r="A64" s="14" t="s">
        <v>26</v>
      </c>
      <c r="B64" s="15" t="s">
        <v>110</v>
      </c>
      <c r="C64" s="16" t="s">
        <v>111</v>
      </c>
      <c r="D64" s="17" t="s">
        <v>16</v>
      </c>
      <c r="E64" s="18"/>
      <c r="F64" s="19">
        <v>16</v>
      </c>
      <c r="G64" s="19">
        <v>16</v>
      </c>
      <c r="H64" s="19">
        <v>16</v>
      </c>
      <c r="I64" s="19">
        <v>16</v>
      </c>
      <c r="J64" s="19">
        <v>16</v>
      </c>
      <c r="K64" s="19">
        <v>16</v>
      </c>
      <c r="L64" s="20"/>
    </row>
    <row r="65" spans="1:12">
      <c r="A65" s="14"/>
      <c r="B65" s="21"/>
      <c r="C65" s="16" t="s">
        <v>112</v>
      </c>
      <c r="D65" s="17" t="s">
        <v>16</v>
      </c>
      <c r="E65" s="18"/>
      <c r="F65" s="19">
        <v>4</v>
      </c>
      <c r="G65" s="19">
        <v>4</v>
      </c>
      <c r="H65" s="19">
        <v>4</v>
      </c>
      <c r="I65" s="19">
        <v>4</v>
      </c>
      <c r="J65" s="19">
        <v>4</v>
      </c>
      <c r="K65" s="19">
        <v>4</v>
      </c>
      <c r="L65" s="20"/>
    </row>
    <row r="66" spans="1:12">
      <c r="A66" s="14"/>
      <c r="B66" s="15" t="s">
        <v>28</v>
      </c>
      <c r="C66" s="16" t="s">
        <v>113</v>
      </c>
      <c r="D66" s="17" t="s">
        <v>29</v>
      </c>
      <c r="E66" s="18"/>
      <c r="F66" s="37">
        <v>0.7</v>
      </c>
      <c r="G66" s="37">
        <v>0.75</v>
      </c>
      <c r="H66" s="37">
        <v>0.8</v>
      </c>
      <c r="I66" s="37">
        <v>0.85</v>
      </c>
      <c r="J66" s="37">
        <v>0.9</v>
      </c>
      <c r="K66" s="37">
        <v>0.8</v>
      </c>
      <c r="L66" s="38"/>
    </row>
    <row r="67" spans="1:12">
      <c r="A67" s="14"/>
      <c r="B67" s="21"/>
      <c r="C67" s="16" t="s">
        <v>114</v>
      </c>
      <c r="D67" s="17" t="s">
        <v>16</v>
      </c>
      <c r="E67" s="18"/>
      <c r="F67" s="19">
        <v>10</v>
      </c>
      <c r="G67" s="19">
        <v>10</v>
      </c>
      <c r="H67" s="19">
        <v>10</v>
      </c>
      <c r="I67" s="19">
        <v>10</v>
      </c>
      <c r="J67" s="19">
        <v>10</v>
      </c>
      <c r="K67" s="19">
        <v>10</v>
      </c>
      <c r="L67" s="20"/>
    </row>
    <row r="68" spans="1:12">
      <c r="A68" s="14"/>
      <c r="B68" s="15" t="s">
        <v>91</v>
      </c>
      <c r="C68" s="16" t="s">
        <v>115</v>
      </c>
      <c r="D68" s="17" t="s">
        <v>16</v>
      </c>
      <c r="E68" s="18"/>
      <c r="F68" s="22">
        <f>ROUND(F30*F64*F65*F66,0)</f>
        <v>112000</v>
      </c>
      <c r="G68" s="22">
        <f>ROUND(G30*G64*G65*G66,0)</f>
        <v>240480</v>
      </c>
      <c r="H68" s="22">
        <f>ROUND(H30*H64*H65*H66,0)</f>
        <v>432557</v>
      </c>
      <c r="I68" s="22">
        <f>ROUND(I30*I64*I65*I66,0)</f>
        <v>453156</v>
      </c>
      <c r="J68" s="22">
        <f>ROUND(J30*J64*J65*J66,0)</f>
        <v>463856</v>
      </c>
      <c r="K68" s="22">
        <f>ROUND(K30*K64*K65*K66,0)</f>
        <v>461448</v>
      </c>
      <c r="L68" s="23">
        <f>SUM(F68:K68)</f>
        <v>2163497</v>
      </c>
    </row>
    <row r="69" spans="1:12">
      <c r="A69" s="14"/>
      <c r="B69" s="21"/>
      <c r="C69" s="16" t="s">
        <v>116</v>
      </c>
      <c r="D69" s="17" t="s">
        <v>16</v>
      </c>
      <c r="E69" s="18"/>
      <c r="F69" s="22">
        <f>IF(F30=0,"-",F68/F30)</f>
        <v>44.8</v>
      </c>
      <c r="G69" s="22">
        <f>IF(G30=0,"-",G68/G30)</f>
        <v>48</v>
      </c>
      <c r="H69" s="22">
        <f>IF(H30=0,"-",H68/H30)</f>
        <v>51.200023673191588</v>
      </c>
      <c r="I69" s="22">
        <f>IF(I30=0,"-",I68/I30)</f>
        <v>54.400029579586921</v>
      </c>
      <c r="J69" s="22">
        <f>IF(J30=0,"-",J68/J30)</f>
        <v>57.60003955768299</v>
      </c>
      <c r="K69" s="22">
        <f>IF(K30=0,"-",K68/K30)</f>
        <v>51.20001549892045</v>
      </c>
      <c r="L69" s="20"/>
    </row>
    <row r="70" spans="1:12">
      <c r="A70" s="14"/>
      <c r="B70" s="21"/>
      <c r="C70" s="16" t="s">
        <v>117</v>
      </c>
      <c r="D70" s="17" t="s">
        <v>16</v>
      </c>
      <c r="E70" s="18"/>
      <c r="F70" s="22">
        <f t="shared" ref="F70:K70" si="38">IF(F67=0,"-",ROUND(F68/F67,0))</f>
        <v>11200</v>
      </c>
      <c r="G70" s="22">
        <f t="shared" si="38"/>
        <v>24048</v>
      </c>
      <c r="H70" s="22">
        <f t="shared" si="38"/>
        <v>43256</v>
      </c>
      <c r="I70" s="22">
        <f t="shared" si="38"/>
        <v>45316</v>
      </c>
      <c r="J70" s="22">
        <f t="shared" si="38"/>
        <v>46386</v>
      </c>
      <c r="K70" s="22">
        <f t="shared" si="38"/>
        <v>46145</v>
      </c>
      <c r="L70" s="23">
        <f>SUM(F70:K70)</f>
        <v>216351</v>
      </c>
    </row>
    <row r="71" spans="1:12">
      <c r="A71" s="14"/>
      <c r="B71" s="21"/>
      <c r="C71" s="16" t="s">
        <v>118</v>
      </c>
      <c r="D71" s="17" t="s">
        <v>29</v>
      </c>
      <c r="E71" s="18"/>
      <c r="F71" s="41">
        <f>IF(F52=0,"-",F70/F52)</f>
        <v>0.93333333333333335</v>
      </c>
      <c r="G71" s="41">
        <f>IF(G52=0,"-",G70/G52)</f>
        <v>0.96192</v>
      </c>
      <c r="H71" s="41">
        <f>IF(H52=0,"-",H70/H52)</f>
        <v>0.87614186465738997</v>
      </c>
      <c r="I71" s="41">
        <f>IF(I52=0,"-",I70/I52)</f>
        <v>0.37763333333333332</v>
      </c>
      <c r="J71" s="41">
        <f>IF(J52=0,"-",J70/J52)</f>
        <v>0.21084545454545456</v>
      </c>
      <c r="K71" s="41">
        <f>IF(K52=0,"-",K70/K52)</f>
        <v>0.13983333333333334</v>
      </c>
      <c r="L71" s="38"/>
    </row>
    <row r="72" spans="1:12">
      <c r="A72" s="14"/>
      <c r="B72" s="15" t="s">
        <v>119</v>
      </c>
      <c r="C72" s="16" t="s">
        <v>120</v>
      </c>
      <c r="D72" s="17" t="s">
        <v>54</v>
      </c>
      <c r="E72" s="18" t="s">
        <v>121</v>
      </c>
      <c r="F72" s="24">
        <v>100</v>
      </c>
      <c r="G72" s="24">
        <v>100</v>
      </c>
      <c r="H72" s="24">
        <v>100</v>
      </c>
      <c r="I72" s="24">
        <v>100</v>
      </c>
      <c r="J72" s="24">
        <v>100</v>
      </c>
      <c r="K72" s="24">
        <v>100</v>
      </c>
      <c r="L72" s="25"/>
    </row>
    <row r="73" spans="1:12">
      <c r="A73" s="14"/>
      <c r="B73" s="21"/>
      <c r="C73" s="16" t="s">
        <v>122</v>
      </c>
      <c r="D73" s="17" t="s">
        <v>54</v>
      </c>
      <c r="E73" s="18"/>
      <c r="F73" s="26">
        <f>IF(F68=0,"-",F47/F68)</f>
        <v>4.4642857142857144</v>
      </c>
      <c r="G73" s="26">
        <f>IF(G68=0,"-",G47/G68)</f>
        <v>6.4376455422488359</v>
      </c>
      <c r="H73" s="26">
        <f>IF(H68=0,"-",H47/H68)</f>
        <v>4.8960859493662108</v>
      </c>
      <c r="I73" s="26">
        <f>IF(I68=0,"-",I47/I68)</f>
        <v>5.0700328639585486</v>
      </c>
      <c r="J73" s="26">
        <f>IF(J68=0,"-",J47/J68)</f>
        <v>6.1245952572026656</v>
      </c>
      <c r="K73" s="26">
        <f>IF(K68=0,"-",K47/K68)</f>
        <v>6.7908178692588335</v>
      </c>
      <c r="L73" s="25"/>
    </row>
    <row r="74" spans="1:12" ht="27.75" customHeight="1">
      <c r="A74" s="85" t="s">
        <v>123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</row>
    <row r="75" spans="1:12">
      <c r="A75" s="14" t="s">
        <v>124</v>
      </c>
      <c r="B75" s="15" t="s">
        <v>125</v>
      </c>
      <c r="C75" s="16" t="s">
        <v>126</v>
      </c>
      <c r="D75" s="17" t="s">
        <v>19</v>
      </c>
      <c r="E75" s="18" t="s">
        <v>45</v>
      </c>
      <c r="F75" s="28">
        <f t="shared" ref="F75:K75" si="39">F38</f>
        <v>15722.222222222223</v>
      </c>
      <c r="G75" s="28">
        <f t="shared" si="39"/>
        <v>24555.555555555555</v>
      </c>
      <c r="H75" s="28">
        <f t="shared" si="39"/>
        <v>34161.25</v>
      </c>
      <c r="I75" s="28">
        <f t="shared" si="39"/>
        <v>22666.794444444444</v>
      </c>
      <c r="J75" s="28">
        <f t="shared" si="39"/>
        <v>26451.222277777775</v>
      </c>
      <c r="K75" s="28">
        <f t="shared" si="39"/>
        <v>29917.007826111112</v>
      </c>
      <c r="L75" s="29">
        <f t="shared" ref="L75:L89" si="40">SUM(F75:K75)</f>
        <v>153474.05232611112</v>
      </c>
    </row>
    <row r="76" spans="1:12">
      <c r="A76" s="14"/>
      <c r="B76" s="15" t="s">
        <v>127</v>
      </c>
      <c r="C76" s="16" t="s">
        <v>128</v>
      </c>
      <c r="D76" s="17" t="s">
        <v>19</v>
      </c>
      <c r="E76" s="18" t="s">
        <v>45</v>
      </c>
      <c r="F76" s="39"/>
      <c r="G76" s="39"/>
      <c r="H76" s="39">
        <v>5000</v>
      </c>
      <c r="I76" s="39">
        <v>5000</v>
      </c>
      <c r="J76" s="39">
        <v>5000</v>
      </c>
      <c r="K76" s="39">
        <v>5000</v>
      </c>
      <c r="L76" s="29">
        <f t="shared" si="40"/>
        <v>20000</v>
      </c>
    </row>
    <row r="77" spans="1:12">
      <c r="A77" s="14"/>
      <c r="B77" s="15" t="s">
        <v>129</v>
      </c>
      <c r="C77" s="16" t="s">
        <v>130</v>
      </c>
      <c r="D77" s="17" t="s">
        <v>19</v>
      </c>
      <c r="E77" s="18" t="s">
        <v>45</v>
      </c>
      <c r="F77" s="28">
        <f t="shared" ref="F77:K77" si="41">F48</f>
        <v>5555.5555555555557</v>
      </c>
      <c r="G77" s="28">
        <f t="shared" si="41"/>
        <v>17201.388888888891</v>
      </c>
      <c r="H77" s="28">
        <f t="shared" si="41"/>
        <v>23531.513888888891</v>
      </c>
      <c r="I77" s="28">
        <f t="shared" si="41"/>
        <v>25527.953472222223</v>
      </c>
      <c r="J77" s="28">
        <f t="shared" si="41"/>
        <v>31565.891751388885</v>
      </c>
      <c r="K77" s="28">
        <f t="shared" si="41"/>
        <v>34817.88137926389</v>
      </c>
      <c r="L77" s="29">
        <f t="shared" si="40"/>
        <v>138200.18493620833</v>
      </c>
    </row>
    <row r="78" spans="1:12">
      <c r="A78" s="14"/>
      <c r="B78" s="15" t="s">
        <v>131</v>
      </c>
      <c r="C78" s="16" t="s">
        <v>132</v>
      </c>
      <c r="D78" s="17" t="s">
        <v>19</v>
      </c>
      <c r="E78" s="18" t="s">
        <v>133</v>
      </c>
      <c r="F78" s="39"/>
      <c r="G78" s="39"/>
      <c r="H78" s="39">
        <v>15000</v>
      </c>
      <c r="I78" s="39">
        <v>15000</v>
      </c>
      <c r="J78" s="39">
        <v>15000</v>
      </c>
      <c r="K78" s="39"/>
      <c r="L78" s="29">
        <f t="shared" si="40"/>
        <v>45000</v>
      </c>
    </row>
    <row r="79" spans="1:12">
      <c r="A79" s="14"/>
      <c r="B79" s="15" t="s">
        <v>134</v>
      </c>
      <c r="C79" s="16" t="s">
        <v>135</v>
      </c>
      <c r="D79" s="17" t="s">
        <v>19</v>
      </c>
      <c r="E79" s="18" t="s">
        <v>133</v>
      </c>
      <c r="F79" s="39"/>
      <c r="G79" s="39"/>
      <c r="H79" s="39">
        <v>15000</v>
      </c>
      <c r="I79" s="39"/>
      <c r="J79" s="39">
        <v>15000</v>
      </c>
      <c r="K79" s="39"/>
      <c r="L79" s="29">
        <f t="shared" si="40"/>
        <v>30000</v>
      </c>
    </row>
    <row r="80" spans="1:12">
      <c r="A80" s="14"/>
      <c r="B80" s="15" t="s">
        <v>136</v>
      </c>
      <c r="C80" s="16" t="s">
        <v>137</v>
      </c>
      <c r="D80" s="17" t="s">
        <v>19</v>
      </c>
      <c r="E80" s="18" t="s">
        <v>45</v>
      </c>
      <c r="F80" s="39"/>
      <c r="G80" s="39"/>
      <c r="H80" s="39">
        <v>2000</v>
      </c>
      <c r="I80" s="39">
        <v>2000</v>
      </c>
      <c r="J80" s="39">
        <v>2000</v>
      </c>
      <c r="K80" s="39">
        <v>2000</v>
      </c>
      <c r="L80" s="29">
        <f t="shared" si="40"/>
        <v>8000</v>
      </c>
    </row>
    <row r="81" spans="1:12">
      <c r="A81" s="14"/>
      <c r="B81" s="15" t="s">
        <v>138</v>
      </c>
      <c r="C81" s="16" t="s">
        <v>139</v>
      </c>
      <c r="D81" s="17" t="s">
        <v>19</v>
      </c>
      <c r="E81" s="18" t="s">
        <v>45</v>
      </c>
      <c r="F81" s="39">
        <v>5000</v>
      </c>
      <c r="G81" s="39">
        <v>3000</v>
      </c>
      <c r="H81" s="39"/>
      <c r="I81" s="39">
        <v>5000</v>
      </c>
      <c r="J81" s="39">
        <v>3000</v>
      </c>
      <c r="K81" s="39"/>
      <c r="L81" s="29">
        <f t="shared" si="40"/>
        <v>16000</v>
      </c>
    </row>
    <row r="82" spans="1:12">
      <c r="A82" s="14"/>
      <c r="B82" s="15" t="s">
        <v>140</v>
      </c>
      <c r="C82" s="16" t="s">
        <v>141</v>
      </c>
      <c r="D82" s="17" t="s">
        <v>19</v>
      </c>
      <c r="E82" s="18" t="s">
        <v>133</v>
      </c>
      <c r="F82" s="39"/>
      <c r="G82" s="39"/>
      <c r="H82" s="39">
        <v>2000</v>
      </c>
      <c r="I82" s="39"/>
      <c r="J82" s="39">
        <v>2000</v>
      </c>
      <c r="K82" s="39"/>
      <c r="L82" s="29">
        <f t="shared" si="40"/>
        <v>4000</v>
      </c>
    </row>
    <row r="83" spans="1:12">
      <c r="A83" s="14" t="s">
        <v>142</v>
      </c>
      <c r="B83" s="15" t="s">
        <v>143</v>
      </c>
      <c r="C83" s="16" t="s">
        <v>144</v>
      </c>
      <c r="D83" s="17" t="s">
        <v>19</v>
      </c>
      <c r="E83" s="18" t="s">
        <v>145</v>
      </c>
      <c r="F83" s="39"/>
      <c r="G83" s="39"/>
      <c r="H83" s="39"/>
      <c r="I83" s="39">
        <v>20000</v>
      </c>
      <c r="J83" s="39"/>
      <c r="K83" s="39"/>
      <c r="L83" s="29">
        <f t="shared" si="40"/>
        <v>20000</v>
      </c>
    </row>
    <row r="84" spans="1:12">
      <c r="A84" s="14"/>
      <c r="B84" s="15" t="s">
        <v>146</v>
      </c>
      <c r="C84" s="16" t="s">
        <v>147</v>
      </c>
      <c r="D84" s="17" t="s">
        <v>19</v>
      </c>
      <c r="E84" s="18"/>
      <c r="F84" s="28">
        <f t="shared" ref="F84:K84" si="42">F75+F77</f>
        <v>21277.777777777777</v>
      </c>
      <c r="G84" s="28">
        <f t="shared" si="42"/>
        <v>41756.944444444445</v>
      </c>
      <c r="H84" s="28">
        <f t="shared" si="42"/>
        <v>57692.763888888891</v>
      </c>
      <c r="I84" s="28">
        <f t="shared" si="42"/>
        <v>48194.747916666667</v>
      </c>
      <c r="J84" s="28">
        <f t="shared" si="42"/>
        <v>58017.11402916666</v>
      </c>
      <c r="K84" s="28">
        <f t="shared" si="42"/>
        <v>64734.889205375002</v>
      </c>
      <c r="L84" s="29">
        <f t="shared" si="40"/>
        <v>291674.23726231942</v>
      </c>
    </row>
    <row r="85" spans="1:12">
      <c r="A85" s="14"/>
      <c r="B85" s="21"/>
      <c r="C85" s="16" t="s">
        <v>148</v>
      </c>
      <c r="D85" s="17" t="s">
        <v>19</v>
      </c>
      <c r="E85" s="18"/>
      <c r="F85" s="28">
        <f t="shared" ref="F85:K85" si="43">F61</f>
        <v>0</v>
      </c>
      <c r="G85" s="28">
        <f t="shared" si="43"/>
        <v>0</v>
      </c>
      <c r="H85" s="28">
        <f t="shared" si="43"/>
        <v>4443.3</v>
      </c>
      <c r="I85" s="28">
        <f t="shared" si="43"/>
        <v>19200</v>
      </c>
      <c r="J85" s="28">
        <f t="shared" si="43"/>
        <v>46200</v>
      </c>
      <c r="K85" s="28">
        <f t="shared" si="43"/>
        <v>59400</v>
      </c>
      <c r="L85" s="29">
        <f t="shared" si="40"/>
        <v>129243.3</v>
      </c>
    </row>
    <row r="86" spans="1:12">
      <c r="A86" s="14"/>
      <c r="B86" s="21"/>
      <c r="C86" s="16" t="s">
        <v>149</v>
      </c>
      <c r="D86" s="17" t="s">
        <v>19</v>
      </c>
      <c r="E86" s="18"/>
      <c r="F86" s="28">
        <f t="shared" ref="F86:K86" si="44">F76+F78+F79+F80+F81+F82+F83</f>
        <v>5000</v>
      </c>
      <c r="G86" s="28">
        <f t="shared" si="44"/>
        <v>3000</v>
      </c>
      <c r="H86" s="28">
        <f t="shared" si="44"/>
        <v>39000</v>
      </c>
      <c r="I86" s="28">
        <f t="shared" si="44"/>
        <v>47000</v>
      </c>
      <c r="J86" s="28">
        <f t="shared" si="44"/>
        <v>42000</v>
      </c>
      <c r="K86" s="28">
        <f t="shared" si="44"/>
        <v>7000</v>
      </c>
      <c r="L86" s="29">
        <f t="shared" si="40"/>
        <v>143000</v>
      </c>
    </row>
    <row r="87" spans="1:12">
      <c r="A87" s="30"/>
      <c r="B87" s="31"/>
      <c r="C87" s="32" t="s">
        <v>150</v>
      </c>
      <c r="D87" s="33" t="s">
        <v>19</v>
      </c>
      <c r="E87" s="34"/>
      <c r="F87" s="35">
        <f t="shared" ref="F87:K87" si="45">F84+F85+F86</f>
        <v>26277.777777777777</v>
      </c>
      <c r="G87" s="35">
        <f t="shared" si="45"/>
        <v>44756.944444444445</v>
      </c>
      <c r="H87" s="35">
        <f t="shared" si="45"/>
        <v>101136.06388888889</v>
      </c>
      <c r="I87" s="35">
        <f t="shared" si="45"/>
        <v>114394.74791666667</v>
      </c>
      <c r="J87" s="35">
        <f t="shared" si="45"/>
        <v>146217.11402916667</v>
      </c>
      <c r="K87" s="35">
        <f t="shared" si="45"/>
        <v>131134.88920537499</v>
      </c>
      <c r="L87" s="36">
        <f t="shared" si="40"/>
        <v>563917.53726231947</v>
      </c>
    </row>
    <row r="88" spans="1:12">
      <c r="A88" s="14"/>
      <c r="B88" s="15" t="s">
        <v>151</v>
      </c>
      <c r="C88" s="16" t="s">
        <v>152</v>
      </c>
      <c r="D88" s="17" t="s">
        <v>19</v>
      </c>
      <c r="E88" s="18" t="s">
        <v>153</v>
      </c>
      <c r="F88" s="39">
        <v>17387</v>
      </c>
      <c r="G88" s="39">
        <v>25000</v>
      </c>
      <c r="H88" s="39">
        <v>39441</v>
      </c>
      <c r="I88" s="39">
        <v>55000</v>
      </c>
      <c r="J88" s="39">
        <v>65000</v>
      </c>
      <c r="K88" s="39">
        <v>73322</v>
      </c>
      <c r="L88" s="29">
        <f t="shared" si="40"/>
        <v>275150</v>
      </c>
    </row>
    <row r="89" spans="1:12">
      <c r="A89" s="14"/>
      <c r="B89" s="21"/>
      <c r="C89" s="16" t="s">
        <v>154</v>
      </c>
      <c r="D89" s="17" t="s">
        <v>19</v>
      </c>
      <c r="E89" s="18"/>
      <c r="F89" s="28">
        <f t="shared" ref="F89:K89" si="46">F88-F87</f>
        <v>-8890.7777777777774</v>
      </c>
      <c r="G89" s="28">
        <f t="shared" si="46"/>
        <v>-19756.944444444445</v>
      </c>
      <c r="H89" s="28">
        <f t="shared" si="46"/>
        <v>-61695.063888888893</v>
      </c>
      <c r="I89" s="28">
        <f t="shared" si="46"/>
        <v>-59394.747916666674</v>
      </c>
      <c r="J89" s="28">
        <f t="shared" si="46"/>
        <v>-81217.114029166667</v>
      </c>
      <c r="K89" s="28">
        <f t="shared" si="46"/>
        <v>-57812.889205374988</v>
      </c>
      <c r="L89" s="29">
        <f t="shared" si="40"/>
        <v>-288767.53726231947</v>
      </c>
    </row>
    <row r="90" spans="1:12" ht="27.75" hidden="1" customHeight="1">
      <c r="A90" s="86" t="s">
        <v>155</v>
      </c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</row>
    <row r="91" spans="1:12" hidden="1">
      <c r="A91" s="14" t="s">
        <v>31</v>
      </c>
      <c r="B91" s="15" t="s">
        <v>32</v>
      </c>
      <c r="C91" s="16" t="s">
        <v>156</v>
      </c>
      <c r="D91" s="17" t="s">
        <v>16</v>
      </c>
      <c r="E91" s="18"/>
      <c r="F91" s="19">
        <v>10</v>
      </c>
      <c r="G91" s="19">
        <v>12</v>
      </c>
      <c r="H91" s="19">
        <v>15</v>
      </c>
      <c r="I91" s="19">
        <v>18</v>
      </c>
      <c r="J91" s="19">
        <v>20</v>
      </c>
      <c r="K91" s="19">
        <v>20</v>
      </c>
      <c r="L91" s="20"/>
    </row>
    <row r="92" spans="1:12" hidden="1">
      <c r="A92" s="14"/>
      <c r="B92" s="21"/>
      <c r="C92" s="16" t="s">
        <v>157</v>
      </c>
      <c r="D92" s="17" t="s">
        <v>16</v>
      </c>
      <c r="E92" s="18"/>
      <c r="F92" s="19">
        <v>1</v>
      </c>
      <c r="G92" s="19">
        <v>1</v>
      </c>
      <c r="H92" s="19">
        <v>2</v>
      </c>
      <c r="I92" s="19">
        <v>2</v>
      </c>
      <c r="J92" s="19">
        <v>3</v>
      </c>
      <c r="K92" s="19">
        <v>3</v>
      </c>
      <c r="L92" s="20"/>
    </row>
    <row r="93" spans="1:12" hidden="1">
      <c r="A93" s="14"/>
      <c r="B93" s="21"/>
      <c r="C93" s="16" t="s">
        <v>158</v>
      </c>
      <c r="D93" s="17" t="s">
        <v>16</v>
      </c>
      <c r="E93" s="18"/>
      <c r="F93" s="19">
        <v>0</v>
      </c>
      <c r="G93" s="19">
        <v>1</v>
      </c>
      <c r="H93" s="19">
        <v>1</v>
      </c>
      <c r="I93" s="19">
        <v>1</v>
      </c>
      <c r="J93" s="19">
        <v>2</v>
      </c>
      <c r="K93" s="19">
        <v>2</v>
      </c>
      <c r="L93" s="20"/>
    </row>
    <row r="94" spans="1:12" hidden="1">
      <c r="A94" s="14"/>
      <c r="B94" s="21"/>
      <c r="C94" s="16" t="s">
        <v>159</v>
      </c>
      <c r="D94" s="17" t="s">
        <v>19</v>
      </c>
      <c r="E94" s="18"/>
      <c r="F94" s="70">
        <v>0.15</v>
      </c>
      <c r="G94" s="70">
        <v>0.15</v>
      </c>
      <c r="H94" s="70">
        <v>0.18</v>
      </c>
      <c r="I94" s="70">
        <v>0.18</v>
      </c>
      <c r="J94" s="70">
        <v>0.2</v>
      </c>
      <c r="K94" s="70">
        <v>0.2</v>
      </c>
      <c r="L94" s="40"/>
    </row>
    <row r="95" spans="1:12" hidden="1">
      <c r="A95" s="14"/>
      <c r="B95" s="21"/>
      <c r="C95" s="16" t="s">
        <v>160</v>
      </c>
      <c r="D95" s="17" t="s">
        <v>19</v>
      </c>
      <c r="E95" s="18"/>
      <c r="F95" s="70">
        <v>0.3</v>
      </c>
      <c r="G95" s="70">
        <v>0.3</v>
      </c>
      <c r="H95" s="70">
        <v>0.35</v>
      </c>
      <c r="I95" s="70">
        <v>0.35</v>
      </c>
      <c r="J95" s="70">
        <v>0.4</v>
      </c>
      <c r="K95" s="70">
        <v>0.4</v>
      </c>
      <c r="L95" s="40"/>
    </row>
    <row r="96" spans="1:12" hidden="1">
      <c r="A96" s="14"/>
      <c r="B96" s="21"/>
      <c r="C96" s="16" t="s">
        <v>161</v>
      </c>
      <c r="D96" s="17" t="s">
        <v>19</v>
      </c>
      <c r="E96" s="18"/>
      <c r="F96" s="70">
        <v>1.5</v>
      </c>
      <c r="G96" s="70">
        <v>1.5</v>
      </c>
      <c r="H96" s="70">
        <v>1.8</v>
      </c>
      <c r="I96" s="70">
        <v>1.8</v>
      </c>
      <c r="J96" s="70">
        <v>2</v>
      </c>
      <c r="K96" s="70">
        <v>2</v>
      </c>
      <c r="L96" s="40"/>
    </row>
    <row r="97" spans="1:12" hidden="1">
      <c r="A97" s="14"/>
      <c r="B97" s="21"/>
      <c r="C97" s="16" t="s">
        <v>162</v>
      </c>
      <c r="D97" s="17" t="s">
        <v>29</v>
      </c>
      <c r="E97" s="18"/>
      <c r="F97" s="37">
        <v>0.5</v>
      </c>
      <c r="G97" s="37">
        <v>0.55000000000000004</v>
      </c>
      <c r="H97" s="37">
        <v>0.6</v>
      </c>
      <c r="I97" s="37">
        <v>0.65</v>
      </c>
      <c r="J97" s="37">
        <v>0.7</v>
      </c>
      <c r="K97" s="37">
        <v>0.7</v>
      </c>
      <c r="L97" s="38"/>
    </row>
    <row r="98" spans="1:12" hidden="1">
      <c r="A98" s="14"/>
      <c r="B98" s="21"/>
      <c r="C98" s="16" t="s">
        <v>163</v>
      </c>
      <c r="D98" s="17" t="s">
        <v>19</v>
      </c>
      <c r="E98" s="18"/>
      <c r="F98" s="28">
        <f>ROUND(F57*(F91*F94+F92*F95+F93*F96)/1000*F97*30,0)</f>
        <v>49</v>
      </c>
      <c r="G98" s="28">
        <f>ROUND(G57*(G91*G94+G92*G95+G93*G96)/1000*G97*30,0)</f>
        <v>238</v>
      </c>
      <c r="H98" s="28">
        <f>ROUND(H57*(H91*H94+H92*H95+H93*H96)/1000*H97*30,0)</f>
        <v>786</v>
      </c>
      <c r="I98" s="28">
        <f>ROUND(I57*(I91*I94+I92*I95+I93*I96)/1000*I97*30,0)</f>
        <v>2418</v>
      </c>
      <c r="J98" s="28">
        <f>ROUND(J57*(J91*J94+J92*J95+J93*J96)/1000*J97*30,0)</f>
        <v>8076</v>
      </c>
      <c r="K98" s="28">
        <f>ROUND(K57*(K91*K94+K92*K95+K93*K96)/1000*K97*30,0)</f>
        <v>12751</v>
      </c>
      <c r="L98" s="29">
        <f>SUM(F98:K98)</f>
        <v>24318</v>
      </c>
    </row>
    <row r="99" spans="1:12" hidden="1">
      <c r="A99" s="14"/>
      <c r="B99" s="15" t="s">
        <v>164</v>
      </c>
      <c r="C99" s="16" t="s">
        <v>165</v>
      </c>
      <c r="D99" s="17" t="s">
        <v>16</v>
      </c>
      <c r="E99" s="18" t="s">
        <v>133</v>
      </c>
      <c r="F99" s="19">
        <v>0</v>
      </c>
      <c r="G99" s="19">
        <v>0</v>
      </c>
      <c r="H99" s="19">
        <v>1</v>
      </c>
      <c r="I99" s="19">
        <v>2</v>
      </c>
      <c r="J99" s="19">
        <v>3</v>
      </c>
      <c r="K99" s="19">
        <v>5</v>
      </c>
      <c r="L99" s="20"/>
    </row>
    <row r="100" spans="1:12" hidden="1">
      <c r="A100" s="14"/>
      <c r="B100" s="21"/>
      <c r="C100" s="16" t="s">
        <v>166</v>
      </c>
      <c r="D100" s="17" t="s">
        <v>19</v>
      </c>
      <c r="E100" s="18"/>
      <c r="F100" s="39">
        <v>0</v>
      </c>
      <c r="G100" s="39">
        <v>0</v>
      </c>
      <c r="H100" s="39">
        <v>5000</v>
      </c>
      <c r="I100" s="39">
        <v>5000</v>
      </c>
      <c r="J100" s="39">
        <v>5000</v>
      </c>
      <c r="K100" s="39">
        <v>5000</v>
      </c>
      <c r="L100" s="40"/>
    </row>
    <row r="101" spans="1:12" hidden="1">
      <c r="A101" s="14"/>
      <c r="B101" s="21"/>
      <c r="C101" s="16" t="s">
        <v>167</v>
      </c>
      <c r="D101" s="17" t="s">
        <v>19</v>
      </c>
      <c r="E101" s="18"/>
      <c r="F101" s="28">
        <f t="shared" ref="F101:K101" si="47">F99*F100</f>
        <v>0</v>
      </c>
      <c r="G101" s="28">
        <f t="shared" si="47"/>
        <v>0</v>
      </c>
      <c r="H101" s="28">
        <f t="shared" si="47"/>
        <v>5000</v>
      </c>
      <c r="I101" s="28">
        <f t="shared" si="47"/>
        <v>10000</v>
      </c>
      <c r="J101" s="28">
        <f t="shared" si="47"/>
        <v>15000</v>
      </c>
      <c r="K101" s="28">
        <f t="shared" si="47"/>
        <v>25000</v>
      </c>
      <c r="L101" s="29">
        <f>SUM(F101:K101)</f>
        <v>55000</v>
      </c>
    </row>
    <row r="102" spans="1:12" hidden="1">
      <c r="A102" s="14"/>
      <c r="B102" s="15" t="s">
        <v>168</v>
      </c>
      <c r="C102" s="16" t="s">
        <v>169</v>
      </c>
      <c r="D102" s="17" t="s">
        <v>19</v>
      </c>
      <c r="E102" s="18" t="s">
        <v>133</v>
      </c>
      <c r="F102" s="39">
        <v>0</v>
      </c>
      <c r="G102" s="39">
        <v>0</v>
      </c>
      <c r="H102" s="39">
        <v>0</v>
      </c>
      <c r="I102" s="39">
        <v>0</v>
      </c>
      <c r="J102" s="39">
        <v>500</v>
      </c>
      <c r="K102" s="39">
        <v>2000</v>
      </c>
      <c r="L102" s="29">
        <f>SUM(F102:K102)</f>
        <v>2500</v>
      </c>
    </row>
    <row r="103" spans="1:12" hidden="1">
      <c r="A103" s="42"/>
      <c r="B103" s="43"/>
      <c r="C103" s="44" t="s">
        <v>170</v>
      </c>
      <c r="D103" s="45" t="s">
        <v>19</v>
      </c>
      <c r="E103" s="46"/>
      <c r="F103" s="47">
        <f t="shared" ref="F103:K103" si="48">F98+F101+F102</f>
        <v>49</v>
      </c>
      <c r="G103" s="47">
        <f t="shared" si="48"/>
        <v>238</v>
      </c>
      <c r="H103" s="47">
        <f t="shared" si="48"/>
        <v>5786</v>
      </c>
      <c r="I103" s="47">
        <f t="shared" si="48"/>
        <v>12418</v>
      </c>
      <c r="J103" s="47">
        <f t="shared" si="48"/>
        <v>23576</v>
      </c>
      <c r="K103" s="47">
        <f t="shared" si="48"/>
        <v>39751</v>
      </c>
      <c r="L103" s="48">
        <f>SUM(F103:K103)</f>
        <v>81818</v>
      </c>
    </row>
    <row r="104" spans="1:12" ht="27.75" customHeight="1">
      <c r="A104" s="87" t="s">
        <v>171</v>
      </c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2">
      <c r="A105" s="14" t="s">
        <v>172</v>
      </c>
      <c r="B105" s="15" t="s">
        <v>173</v>
      </c>
      <c r="C105" s="16" t="s">
        <v>174</v>
      </c>
      <c r="D105" s="17" t="s">
        <v>19</v>
      </c>
      <c r="E105" s="18"/>
      <c r="F105" s="71">
        <f>IF(F52=0,"-",F87/F52)</f>
        <v>2.1898148148148149</v>
      </c>
      <c r="G105" s="71">
        <f>IF(G52=0,"-",G87/G52)</f>
        <v>1.7902777777777779</v>
      </c>
      <c r="H105" s="71">
        <f>IF(H52=0,"-",H87/H52)</f>
        <v>2.0484912983105241</v>
      </c>
      <c r="I105" s="71">
        <f>IF(I52=0,"-",I87/I52)</f>
        <v>0.95328956597222225</v>
      </c>
      <c r="J105" s="71">
        <f>IF(J52=0,"-",J87/J52)</f>
        <v>0.66462324558712116</v>
      </c>
      <c r="K105" s="71">
        <f>IF(K52=0,"-",K87/K52)</f>
        <v>0.39737845213749995</v>
      </c>
      <c r="L105" s="40"/>
    </row>
    <row r="106" spans="1:12">
      <c r="A106" s="14"/>
      <c r="B106" s="21"/>
      <c r="C106" s="16" t="s">
        <v>175</v>
      </c>
      <c r="D106" s="17" t="s">
        <v>19</v>
      </c>
      <c r="E106" s="18"/>
      <c r="F106" s="71">
        <f>IF(F25=0,"-",F84/F25)</f>
        <v>85.111111111111114</v>
      </c>
      <c r="G106" s="71">
        <f>IF(G25=0,"-",G84/G25)</f>
        <v>100.01663339986693</v>
      </c>
      <c r="H106" s="71">
        <f>IF(H25=0,"-",H84/H25)</f>
        <v>102.43288896779953</v>
      </c>
      <c r="I106" s="71">
        <f>IF(I25=0,"-",I84/I25)</f>
        <v>69.84687869146984</v>
      </c>
      <c r="J106" s="71">
        <f>IF(J25=0,"-",J84/J25)</f>
        <v>72.493754066177615</v>
      </c>
      <c r="K106" s="71">
        <f>IF(K25=0,"-",K84/K25)</f>
        <v>72.227369995147612</v>
      </c>
      <c r="L106" s="40"/>
    </row>
    <row r="107" spans="1:12">
      <c r="A107" s="14"/>
      <c r="B107" s="21"/>
      <c r="C107" s="16" t="s">
        <v>176</v>
      </c>
      <c r="D107" s="17" t="s">
        <v>19</v>
      </c>
      <c r="E107" s="18"/>
      <c r="F107" s="71" t="str">
        <f>IF(F59=0,"-",F85/F59)</f>
        <v>-</v>
      </c>
      <c r="G107" s="71" t="str">
        <f>IF(G59=0,"-",G85/G59)</f>
        <v>-</v>
      </c>
      <c r="H107" s="71">
        <f>IF(H59=0,"-",H85/H59)</f>
        <v>0.9</v>
      </c>
      <c r="I107" s="71">
        <f>IF(I59=0,"-",I85/I59)</f>
        <v>0.8</v>
      </c>
      <c r="J107" s="71">
        <f>IF(J59=0,"-",J85/J59)</f>
        <v>0.7</v>
      </c>
      <c r="K107" s="71">
        <f>IF(K59=0,"-",K85/K59)</f>
        <v>0.6</v>
      </c>
      <c r="L107" s="40"/>
    </row>
    <row r="108" spans="1:12">
      <c r="A108" s="14"/>
      <c r="B108" s="15" t="s">
        <v>177</v>
      </c>
      <c r="C108" s="16" t="s">
        <v>178</v>
      </c>
      <c r="D108" s="17" t="s">
        <v>38</v>
      </c>
      <c r="E108" s="18"/>
      <c r="F108" s="49">
        <f t="shared" ref="F108:K108" si="49">IF(F87=0,"-",F103/F87)</f>
        <v>1.864693446088795E-3</v>
      </c>
      <c r="G108" s="49">
        <f t="shared" si="49"/>
        <v>5.3176105508145844E-3</v>
      </c>
      <c r="H108" s="49">
        <f t="shared" si="49"/>
        <v>5.7210057199345556E-2</v>
      </c>
      <c r="I108" s="49">
        <f t="shared" si="49"/>
        <v>0.10855393474048441</v>
      </c>
      <c r="J108" s="49">
        <f t="shared" si="49"/>
        <v>0.1612396753727281</v>
      </c>
      <c r="K108" s="49">
        <f t="shared" si="49"/>
        <v>0.3031306179528207</v>
      </c>
      <c r="L108" s="50"/>
    </row>
    <row r="109" spans="1:12">
      <c r="A109" s="14"/>
      <c r="B109" s="21"/>
      <c r="C109" s="16" t="s">
        <v>179</v>
      </c>
      <c r="D109" s="17" t="s">
        <v>19</v>
      </c>
      <c r="E109" s="18"/>
      <c r="F109" s="71">
        <f>IF(F52=0,"-",F103/F52)</f>
        <v>4.0833333333333329E-3</v>
      </c>
      <c r="G109" s="71">
        <f>IF(G52=0,"-",G103/G52)</f>
        <v>9.5200000000000007E-3</v>
      </c>
      <c r="H109" s="71">
        <f>IF(H52=0,"-",H103/H52)</f>
        <v>0.11719430434870673</v>
      </c>
      <c r="I109" s="71">
        <f>IF(I52=0,"-",I103/I52)</f>
        <v>0.10348333333333333</v>
      </c>
      <c r="J109" s="71">
        <f>IF(J52=0,"-",J103/J52)</f>
        <v>0.10716363636363636</v>
      </c>
      <c r="K109" s="71">
        <f>IF(K52=0,"-",K103/K52)</f>
        <v>0.12045757575757576</v>
      </c>
      <c r="L109" s="40"/>
    </row>
    <row r="110" spans="1:12">
      <c r="A110" s="14"/>
      <c r="B110" s="21"/>
      <c r="C110" s="16" t="s">
        <v>180</v>
      </c>
      <c r="D110" s="17" t="s">
        <v>19</v>
      </c>
      <c r="E110" s="18"/>
      <c r="F110" s="71">
        <f>IF(F30=0,"-",F87/F30)</f>
        <v>10.511111111111111</v>
      </c>
      <c r="G110" s="71">
        <f>IF(G30=0,"-",G87/G30)</f>
        <v>8.9335218451984915</v>
      </c>
      <c r="H110" s="71">
        <f>IF(H30=0,"-",H87/H30)</f>
        <v>11.97106708555064</v>
      </c>
      <c r="I110" s="71">
        <f>IF(I30=0,"-",I87/I30)</f>
        <v>13.7327491424941</v>
      </c>
      <c r="J110" s="71">
        <f>IF(J30=0,"-",J87/J30)</f>
        <v>18.156737332470087</v>
      </c>
      <c r="K110" s="71">
        <f>IF(K30=0,"-",K87/K30)</f>
        <v>14.550086596462473</v>
      </c>
      <c r="L110" s="40"/>
    </row>
    <row r="111" spans="1:12">
      <c r="A111" s="14"/>
      <c r="B111" s="21"/>
      <c r="C111" s="16" t="s">
        <v>181</v>
      </c>
      <c r="D111" s="17" t="s">
        <v>19</v>
      </c>
      <c r="E111" s="18"/>
      <c r="F111" s="71">
        <f>IF(F30=0,"-",F103/F30)</f>
        <v>1.9599999999999999E-2</v>
      </c>
      <c r="G111" s="71">
        <f>IF(G30=0,"-",G103/G30)</f>
        <v>4.7504990019960079E-2</v>
      </c>
      <c r="H111" s="71">
        <f>IF(H30=0,"-",H103/H30)</f>
        <v>0.68486543270155509</v>
      </c>
      <c r="I111" s="71">
        <f>IF(I30=0,"-",I103/I30)</f>
        <v>1.4907439542217478</v>
      </c>
      <c r="J111" s="71">
        <f>IF(J30=0,"-",J103/J30)</f>
        <v>2.9275864333153696</v>
      </c>
      <c r="K111" s="71">
        <f>IF(K30=0,"-",K103/K30)</f>
        <v>4.4105767412527239</v>
      </c>
      <c r="L111" s="40"/>
    </row>
    <row r="112" spans="1:12">
      <c r="A112" s="14"/>
      <c r="B112" s="15" t="s">
        <v>182</v>
      </c>
      <c r="C112" s="16" t="s">
        <v>183</v>
      </c>
      <c r="D112" s="17" t="s">
        <v>29</v>
      </c>
      <c r="E112" s="18" t="s">
        <v>184</v>
      </c>
      <c r="F112" s="37">
        <v>0</v>
      </c>
      <c r="G112" s="37">
        <v>0.6</v>
      </c>
      <c r="H112" s="37">
        <v>0.65</v>
      </c>
      <c r="I112" s="37">
        <v>0.7</v>
      </c>
      <c r="J112" s="37">
        <v>0.75</v>
      </c>
      <c r="K112" s="37">
        <v>0.8</v>
      </c>
      <c r="L112" s="38"/>
    </row>
    <row r="113" spans="1:12">
      <c r="A113" s="14"/>
      <c r="B113" s="21"/>
      <c r="C113" s="16" t="s">
        <v>185</v>
      </c>
      <c r="D113" s="17" t="s">
        <v>16</v>
      </c>
      <c r="E113" s="18" t="s">
        <v>184</v>
      </c>
      <c r="F113" s="19">
        <v>0</v>
      </c>
      <c r="G113" s="19">
        <v>40</v>
      </c>
      <c r="H113" s="19">
        <v>45</v>
      </c>
      <c r="I113" s="19">
        <v>50</v>
      </c>
      <c r="J113" s="19">
        <v>55</v>
      </c>
      <c r="K113" s="19">
        <v>60</v>
      </c>
      <c r="L113" s="20"/>
    </row>
    <row r="114" spans="1:12">
      <c r="A114" s="14"/>
      <c r="B114" s="21"/>
      <c r="C114" s="16" t="s">
        <v>186</v>
      </c>
      <c r="D114" s="17" t="s">
        <v>29</v>
      </c>
      <c r="E114" s="18" t="s">
        <v>184</v>
      </c>
      <c r="F114" s="37">
        <v>0.9</v>
      </c>
      <c r="G114" s="37">
        <v>0.92</v>
      </c>
      <c r="H114" s="37">
        <v>0.95</v>
      </c>
      <c r="I114" s="37">
        <v>0.95</v>
      </c>
      <c r="J114" s="37">
        <v>0.95</v>
      </c>
      <c r="K114" s="37">
        <v>0.95</v>
      </c>
      <c r="L114" s="38"/>
    </row>
    <row r="115" spans="1:12">
      <c r="A115" s="14"/>
      <c r="B115" s="15" t="s">
        <v>187</v>
      </c>
      <c r="C115" s="16" t="s">
        <v>188</v>
      </c>
      <c r="D115" s="17" t="s">
        <v>19</v>
      </c>
      <c r="E115" s="18"/>
      <c r="F115" s="28">
        <f t="shared" ref="F115:K115" si="50">F103-F87</f>
        <v>-26228.777777777777</v>
      </c>
      <c r="G115" s="28">
        <f t="shared" si="50"/>
        <v>-44518.944444444445</v>
      </c>
      <c r="H115" s="28">
        <f t="shared" si="50"/>
        <v>-95350.063888888893</v>
      </c>
      <c r="I115" s="28">
        <f t="shared" si="50"/>
        <v>-101976.74791666667</v>
      </c>
      <c r="J115" s="28">
        <f t="shared" si="50"/>
        <v>-122641.11402916667</v>
      </c>
      <c r="K115" s="28">
        <f t="shared" si="50"/>
        <v>-91383.889205374988</v>
      </c>
      <c r="L115" s="29">
        <f>SUM(F115:K115)</f>
        <v>-482099.53726231947</v>
      </c>
    </row>
    <row r="116" spans="1:12">
      <c r="A116" s="14"/>
      <c r="B116" s="21"/>
      <c r="C116" s="16" t="s">
        <v>189</v>
      </c>
      <c r="D116" s="17" t="s">
        <v>29</v>
      </c>
      <c r="E116" s="18"/>
      <c r="F116" s="41">
        <f t="shared" ref="F116:K116" si="51">IF(F103=0,"-",F115/F103)</f>
        <v>-535.28117913832193</v>
      </c>
      <c r="G116" s="41">
        <f t="shared" si="51"/>
        <v>-187.05438842203549</v>
      </c>
      <c r="H116" s="41">
        <f t="shared" si="51"/>
        <v>-16.479444156392827</v>
      </c>
      <c r="I116" s="41">
        <f t="shared" si="51"/>
        <v>-8.2120106230203476</v>
      </c>
      <c r="J116" s="41">
        <f t="shared" si="51"/>
        <v>-5.20194749020897</v>
      </c>
      <c r="K116" s="41">
        <f t="shared" si="51"/>
        <v>-2.2989079320111441</v>
      </c>
      <c r="L116" s="38"/>
    </row>
    <row r="117" spans="1:12">
      <c r="A117" s="14"/>
      <c r="B117" s="15" t="s">
        <v>190</v>
      </c>
      <c r="C117" s="16" t="s">
        <v>191</v>
      </c>
      <c r="D117" s="17" t="s">
        <v>29</v>
      </c>
      <c r="E117" s="18" t="s">
        <v>192</v>
      </c>
      <c r="F117" s="37">
        <v>0</v>
      </c>
      <c r="G117" s="37">
        <v>0</v>
      </c>
      <c r="H117" s="37">
        <v>0</v>
      </c>
      <c r="I117" s="37">
        <v>0.1</v>
      </c>
      <c r="J117" s="37">
        <v>0.12</v>
      </c>
      <c r="K117" s="37">
        <v>0.15</v>
      </c>
      <c r="L117" s="38"/>
    </row>
    <row r="118" spans="1:12">
      <c r="A118" s="14"/>
      <c r="B118" s="21"/>
      <c r="C118" s="16" t="s">
        <v>193</v>
      </c>
      <c r="D118" s="17" t="s">
        <v>54</v>
      </c>
      <c r="E118" s="18"/>
      <c r="F118" s="26">
        <f>IF(F25=0,"-",F103*F117/F25*$B$3)</f>
        <v>0</v>
      </c>
      <c r="G118" s="26">
        <f>IF(G25=0,"-",G103*G117/G25*$B$3)</f>
        <v>0</v>
      </c>
      <c r="H118" s="26">
        <f>IF(H25=0,"-",H103*H117/H25*$B$3)</f>
        <v>0</v>
      </c>
      <c r="I118" s="26">
        <f>IF(I25=0,"-",I103*I117/I25*$B$3)</f>
        <v>161.97256327211767</v>
      </c>
      <c r="J118" s="26">
        <f>IF(J25=0,"-",J103*J117/J25*$B$3)</f>
        <v>318.15470252542872</v>
      </c>
      <c r="K118" s="26">
        <f>IF(K25=0,"-",K103*K117/K25*$B$3)</f>
        <v>598.7495764482245</v>
      </c>
      <c r="L118" s="25"/>
    </row>
    <row r="120" spans="1:12">
      <c r="A120" s="88" t="s">
        <v>194</v>
      </c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</row>
    <row r="121" spans="1:12">
      <c r="A121" s="89" t="s">
        <v>195</v>
      </c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</row>
    <row r="122" spans="1:12">
      <c r="A122" s="89" t="s">
        <v>196</v>
      </c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</row>
    <row r="123" spans="1:12">
      <c r="A123" s="89" t="s">
        <v>197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</row>
    <row r="124" spans="1:12">
      <c r="A124" s="89" t="s">
        <v>198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</row>
    <row r="125" spans="1:12">
      <c r="A125" s="89" t="s">
        <v>199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</row>
    <row r="126" spans="1:12">
      <c r="A126" s="89" t="s">
        <v>200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</row>
    <row r="127" spans="1:12">
      <c r="A127" s="89" t="s">
        <v>201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</row>
    <row r="128" spans="1:12">
      <c r="A128" s="89" t="s">
        <v>202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</row>
    <row r="129" spans="1:12">
      <c r="A129" s="89" t="s">
        <v>203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</row>
    <row r="130" spans="1:12">
      <c r="A130" s="89" t="s">
        <v>204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</row>
  </sheetData>
  <mergeCells count="20">
    <mergeCell ref="A122:L122"/>
    <mergeCell ref="A1:L1"/>
    <mergeCell ref="A2:L2"/>
    <mergeCell ref="A4:L4"/>
    <mergeCell ref="A24:L24"/>
    <mergeCell ref="A51:L51"/>
    <mergeCell ref="A63:L63"/>
    <mergeCell ref="A74:L74"/>
    <mergeCell ref="A90:L90"/>
    <mergeCell ref="A104:L104"/>
    <mergeCell ref="A120:L120"/>
    <mergeCell ref="A121:L121"/>
    <mergeCell ref="A129:L129"/>
    <mergeCell ref="A130:L130"/>
    <mergeCell ref="A123:L123"/>
    <mergeCell ref="A124:L124"/>
    <mergeCell ref="A125:L125"/>
    <mergeCell ref="A126:L126"/>
    <mergeCell ref="A127:L127"/>
    <mergeCell ref="A128:L128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7"/>
  <sheetViews>
    <sheetView topLeftCell="A22" zoomScaleNormal="100" workbookViewId="0">
      <pane xSplit="5" topLeftCell="F1" activePane="topRight" state="frozen"/>
      <selection pane="topRight" activeCell="K65" sqref="K65"/>
      <selection activeCell="A24" sqref="A24"/>
    </sheetView>
  </sheetViews>
  <sheetFormatPr defaultColWidth="8.5703125" defaultRowHeight="14.45"/>
  <cols>
    <col min="1" max="1" width="14" customWidth="1"/>
    <col min="2" max="2" width="22" customWidth="1"/>
    <col min="3" max="3" width="36" customWidth="1"/>
    <col min="4" max="4" width="8" customWidth="1"/>
    <col min="5" max="5" width="12" customWidth="1"/>
    <col min="6" max="12" width="14" customWidth="1"/>
    <col min="16" max="16" width="9.7109375" bestFit="1" customWidth="1"/>
  </cols>
  <sheetData>
    <row r="1" spans="1:12" ht="43.5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21.75" customHeight="1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2" t="s">
        <v>2</v>
      </c>
      <c r="B3" s="3">
        <v>90</v>
      </c>
      <c r="C3" s="1" t="s">
        <v>3</v>
      </c>
    </row>
    <row r="4" spans="1:12" ht="30" customHeight="1">
      <c r="A4" s="81" t="s">
        <v>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21.75" customHeight="1">
      <c r="A5" s="4"/>
      <c r="B5" s="4"/>
      <c r="C5" s="4" t="s">
        <v>5</v>
      </c>
      <c r="D5" s="4" t="s">
        <v>6</v>
      </c>
      <c r="E5" s="4"/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</row>
    <row r="6" spans="1:12" ht="21.75" customHeight="1">
      <c r="A6" s="5"/>
      <c r="B6" s="6" t="s">
        <v>14</v>
      </c>
      <c r="C6" s="7" t="s">
        <v>15</v>
      </c>
      <c r="D6" s="8" t="s">
        <v>16</v>
      </c>
      <c r="E6" s="5"/>
      <c r="F6" s="9">
        <f t="shared" ref="F6:K6" si="0">F25</f>
        <v>250</v>
      </c>
      <c r="G6" s="9">
        <f t="shared" si="0"/>
        <v>267.5</v>
      </c>
      <c r="H6" s="9">
        <f t="shared" si="0"/>
        <v>282.72500000000002</v>
      </c>
      <c r="I6" s="9">
        <f t="shared" si="0"/>
        <v>295.97075000000001</v>
      </c>
      <c r="J6" s="9">
        <f t="shared" si="0"/>
        <v>307.4945525</v>
      </c>
      <c r="K6" s="9">
        <f t="shared" si="0"/>
        <v>317.52026067499997</v>
      </c>
      <c r="L6" s="9">
        <f t="shared" ref="L6:L14" si="1">SUM(F6:K6)</f>
        <v>1721.2105631750001</v>
      </c>
    </row>
    <row r="7" spans="1:12" ht="21.75" customHeight="1">
      <c r="A7" s="5"/>
      <c r="B7" s="6"/>
      <c r="C7" s="7" t="s">
        <v>17</v>
      </c>
      <c r="D7" s="8" t="s">
        <v>16</v>
      </c>
      <c r="E7" s="5"/>
      <c r="F7" s="9">
        <f t="shared" ref="F7:K7" si="2">F30</f>
        <v>2500</v>
      </c>
      <c r="G7" s="9">
        <f t="shared" si="2"/>
        <v>3210</v>
      </c>
      <c r="H7" s="9">
        <f t="shared" si="2"/>
        <v>4240.875</v>
      </c>
      <c r="I7" s="9">
        <f t="shared" si="2"/>
        <v>3601.6490000000003</v>
      </c>
      <c r="J7" s="9">
        <f t="shared" si="2"/>
        <v>3124.9455250000001</v>
      </c>
      <c r="K7" s="9">
        <f t="shared" si="2"/>
        <v>3225.2026067499996</v>
      </c>
      <c r="L7" s="9">
        <f t="shared" si="1"/>
        <v>19902.672131750001</v>
      </c>
    </row>
    <row r="8" spans="1:12" ht="21.75" customHeight="1">
      <c r="A8" s="5"/>
      <c r="B8" s="6"/>
      <c r="C8" s="7" t="s">
        <v>18</v>
      </c>
      <c r="D8" s="8" t="s">
        <v>19</v>
      </c>
      <c r="E8" s="5"/>
      <c r="F8" s="10">
        <f t="shared" ref="F8:K8" si="3">F38</f>
        <v>15722.222222222223</v>
      </c>
      <c r="G8" s="10">
        <f t="shared" si="3"/>
        <v>17888.888888888887</v>
      </c>
      <c r="H8" s="10">
        <f t="shared" si="3"/>
        <v>20136.25</v>
      </c>
      <c r="I8" s="10">
        <f t="shared" si="3"/>
        <v>13910.461111111112</v>
      </c>
      <c r="J8" s="10">
        <f t="shared" si="3"/>
        <v>15499.878944444445</v>
      </c>
      <c r="K8" s="10">
        <f t="shared" si="3"/>
        <v>17056.005792777778</v>
      </c>
      <c r="L8" s="10">
        <f t="shared" si="1"/>
        <v>100213.70695944445</v>
      </c>
    </row>
    <row r="9" spans="1:12" ht="21.75" customHeight="1">
      <c r="A9" s="5"/>
      <c r="B9" s="6"/>
      <c r="C9" s="7" t="s">
        <v>20</v>
      </c>
      <c r="D9" s="8" t="s">
        <v>19</v>
      </c>
      <c r="E9" s="5"/>
      <c r="F9" s="10">
        <f t="shared" ref="F9:K9" si="4">F48</f>
        <v>5555.5555555555557</v>
      </c>
      <c r="G9" s="10">
        <f t="shared" si="4"/>
        <v>10399.305555555555</v>
      </c>
      <c r="H9" s="10">
        <f t="shared" si="4"/>
        <v>10456.743055555555</v>
      </c>
      <c r="I9" s="10">
        <f t="shared" si="4"/>
        <v>11387.873263888889</v>
      </c>
      <c r="J9" s="10">
        <f t="shared" si="4"/>
        <v>11788.00529513889</v>
      </c>
      <c r="K9" s="10">
        <f t="shared" si="4"/>
        <v>11606.919727868053</v>
      </c>
      <c r="L9" s="10">
        <f t="shared" si="1"/>
        <v>61194.402453562492</v>
      </c>
    </row>
    <row r="10" spans="1:12" ht="21.75" customHeight="1">
      <c r="A10" s="5"/>
      <c r="B10" s="6"/>
      <c r="C10" s="7" t="s">
        <v>21</v>
      </c>
      <c r="D10" s="8" t="s">
        <v>19</v>
      </c>
      <c r="E10" s="5"/>
      <c r="F10" s="10">
        <f t="shared" ref="F10:K10" si="5">F50</f>
        <v>21277.777777777777</v>
      </c>
      <c r="G10" s="10">
        <f t="shared" si="5"/>
        <v>28288.194444444442</v>
      </c>
      <c r="H10" s="10">
        <f t="shared" si="5"/>
        <v>30592.993055555555</v>
      </c>
      <c r="I10" s="10">
        <f t="shared" si="5"/>
        <v>25298.334374999999</v>
      </c>
      <c r="J10" s="10">
        <f t="shared" si="5"/>
        <v>27287.884239583334</v>
      </c>
      <c r="K10" s="10">
        <f t="shared" si="5"/>
        <v>28662.925520645833</v>
      </c>
      <c r="L10" s="10">
        <f t="shared" si="1"/>
        <v>161408.10941300695</v>
      </c>
    </row>
    <row r="11" spans="1:12" ht="21.75" customHeight="1">
      <c r="A11" s="5"/>
      <c r="B11" s="6" t="s">
        <v>22</v>
      </c>
      <c r="C11" s="7" t="s">
        <v>23</v>
      </c>
      <c r="D11" s="8" t="s">
        <v>16</v>
      </c>
      <c r="E11" s="5"/>
      <c r="F11" s="9">
        <f t="shared" ref="F11:K11" si="6">F52</f>
        <v>12000</v>
      </c>
      <c r="G11" s="9">
        <f t="shared" si="6"/>
        <v>25000</v>
      </c>
      <c r="H11" s="9">
        <f t="shared" si="6"/>
        <v>49371</v>
      </c>
      <c r="I11" s="9">
        <f t="shared" si="6"/>
        <v>120000</v>
      </c>
      <c r="J11" s="9">
        <f t="shared" si="6"/>
        <v>220000</v>
      </c>
      <c r="K11" s="9">
        <f t="shared" si="6"/>
        <v>330000</v>
      </c>
      <c r="L11" s="9">
        <f>K11</f>
        <v>330000</v>
      </c>
    </row>
    <row r="12" spans="1:12" ht="21.75" customHeight="1">
      <c r="A12" s="5"/>
      <c r="B12" s="6"/>
      <c r="C12" s="7" t="s">
        <v>24</v>
      </c>
      <c r="D12" s="8" t="s">
        <v>16</v>
      </c>
      <c r="E12" s="5"/>
      <c r="F12" s="9">
        <f t="shared" ref="F12:K12" si="7">F56</f>
        <v>3600</v>
      </c>
      <c r="G12" s="9">
        <f t="shared" si="7"/>
        <v>7500</v>
      </c>
      <c r="H12" s="9">
        <f t="shared" si="7"/>
        <v>14811</v>
      </c>
      <c r="I12" s="9">
        <f t="shared" si="7"/>
        <v>36000</v>
      </c>
      <c r="J12" s="9">
        <f t="shared" si="7"/>
        <v>66000</v>
      </c>
      <c r="K12" s="9">
        <f t="shared" si="7"/>
        <v>99000</v>
      </c>
      <c r="L12" s="9">
        <f t="shared" si="1"/>
        <v>226911</v>
      </c>
    </row>
    <row r="13" spans="1:12" ht="21.75" customHeight="1">
      <c r="A13" s="5"/>
      <c r="B13" s="6"/>
      <c r="C13" s="7" t="s">
        <v>25</v>
      </c>
      <c r="D13" s="8" t="s">
        <v>19</v>
      </c>
      <c r="E13" s="5"/>
      <c r="F13" s="10">
        <f t="shared" ref="F13:K13" si="8">F58</f>
        <v>720</v>
      </c>
      <c r="G13" s="10">
        <f t="shared" si="8"/>
        <v>3750</v>
      </c>
      <c r="H13" s="10">
        <f t="shared" si="8"/>
        <v>13329.9</v>
      </c>
      <c r="I13" s="10">
        <f t="shared" si="8"/>
        <v>28800</v>
      </c>
      <c r="J13" s="10">
        <f t="shared" si="8"/>
        <v>46200</v>
      </c>
      <c r="K13" s="10">
        <f t="shared" si="8"/>
        <v>59400</v>
      </c>
      <c r="L13" s="10">
        <f t="shared" si="1"/>
        <v>152199.9</v>
      </c>
    </row>
    <row r="14" spans="1:12" ht="21.75" customHeight="1">
      <c r="A14" s="5"/>
      <c r="B14" s="6" t="s">
        <v>26</v>
      </c>
      <c r="C14" s="7" t="s">
        <v>27</v>
      </c>
      <c r="D14" s="8" t="s">
        <v>16</v>
      </c>
      <c r="E14" s="5"/>
      <c r="F14" s="9">
        <f t="shared" ref="F14:K14" si="9">F65</f>
        <v>112000</v>
      </c>
      <c r="G14" s="9">
        <f t="shared" si="9"/>
        <v>154080</v>
      </c>
      <c r="H14" s="9">
        <f t="shared" si="9"/>
        <v>217133</v>
      </c>
      <c r="I14" s="9">
        <f t="shared" si="9"/>
        <v>195930</v>
      </c>
      <c r="J14" s="9">
        <f t="shared" si="9"/>
        <v>179997</v>
      </c>
      <c r="K14" s="9">
        <f t="shared" si="9"/>
        <v>185772</v>
      </c>
      <c r="L14" s="9">
        <f t="shared" si="1"/>
        <v>1044912</v>
      </c>
    </row>
    <row r="15" spans="1:12" ht="21.75" customHeight="1">
      <c r="A15" s="5"/>
      <c r="B15" s="6"/>
      <c r="C15" s="7" t="s">
        <v>28</v>
      </c>
      <c r="D15" s="8" t="s">
        <v>29</v>
      </c>
      <c r="E15" s="5"/>
      <c r="F15" s="11">
        <f>F63</f>
        <v>0.7</v>
      </c>
      <c r="G15" s="11">
        <f>G63</f>
        <v>0.75</v>
      </c>
      <c r="H15" s="11">
        <f>H63</f>
        <v>0.8</v>
      </c>
      <c r="I15" s="11">
        <f>I63</f>
        <v>0.85</v>
      </c>
      <c r="J15" s="11">
        <f>J63</f>
        <v>0.9</v>
      </c>
      <c r="K15" s="11">
        <f>K63</f>
        <v>0.9</v>
      </c>
      <c r="L15" s="11">
        <f>AVERAGE(F15:K15)</f>
        <v>0.81666666666666676</v>
      </c>
    </row>
    <row r="16" spans="1:12" ht="21.75" customHeight="1">
      <c r="A16" s="5"/>
      <c r="B16" s="6"/>
      <c r="C16" s="7" t="s">
        <v>30</v>
      </c>
      <c r="D16" s="8" t="s">
        <v>16</v>
      </c>
      <c r="E16" s="5"/>
      <c r="F16" s="9">
        <f t="shared" ref="F16:K16" si="10">F66</f>
        <v>44.8</v>
      </c>
      <c r="G16" s="9">
        <f t="shared" si="10"/>
        <v>48</v>
      </c>
      <c r="H16" s="9">
        <f t="shared" si="10"/>
        <v>51.200047160078995</v>
      </c>
      <c r="I16" s="9">
        <f t="shared" si="10"/>
        <v>54.400081740336155</v>
      </c>
      <c r="J16" s="9">
        <f t="shared" si="10"/>
        <v>57.60004408396847</v>
      </c>
      <c r="K16" s="9">
        <f t="shared" si="10"/>
        <v>57.600102273016688</v>
      </c>
      <c r="L16" s="9">
        <f>SUM(F16:K16)</f>
        <v>313.60027525740031</v>
      </c>
    </row>
    <row r="17" spans="1:14" ht="21.75" hidden="1" customHeight="1">
      <c r="A17" s="5"/>
      <c r="B17" s="6" t="s">
        <v>31</v>
      </c>
      <c r="C17" s="7" t="s">
        <v>32</v>
      </c>
      <c r="D17" s="8" t="s">
        <v>19</v>
      </c>
      <c r="E17" s="5"/>
      <c r="F17" s="10">
        <f t="shared" ref="F17:K17" si="11">F95</f>
        <v>49</v>
      </c>
      <c r="G17" s="10">
        <f t="shared" si="11"/>
        <v>238</v>
      </c>
      <c r="H17" s="10">
        <f t="shared" si="11"/>
        <v>786</v>
      </c>
      <c r="I17" s="10">
        <f t="shared" si="11"/>
        <v>2418</v>
      </c>
      <c r="J17" s="10">
        <f t="shared" si="11"/>
        <v>8076</v>
      </c>
      <c r="K17" s="10">
        <f t="shared" si="11"/>
        <v>12751</v>
      </c>
      <c r="L17" s="10">
        <f>SUM(F17:K17)</f>
        <v>24318</v>
      </c>
    </row>
    <row r="18" spans="1:14" ht="21.75" hidden="1" customHeight="1">
      <c r="A18" s="5"/>
      <c r="B18" s="6"/>
      <c r="C18" s="7" t="s">
        <v>33</v>
      </c>
      <c r="D18" s="8" t="s">
        <v>19</v>
      </c>
      <c r="E18" s="5"/>
      <c r="F18" s="10">
        <f t="shared" ref="F18:K18" si="12">F100</f>
        <v>49</v>
      </c>
      <c r="G18" s="10">
        <f t="shared" si="12"/>
        <v>238</v>
      </c>
      <c r="H18" s="10">
        <f t="shared" si="12"/>
        <v>5786</v>
      </c>
      <c r="I18" s="10">
        <f t="shared" si="12"/>
        <v>12418</v>
      </c>
      <c r="J18" s="10">
        <f t="shared" si="12"/>
        <v>23576</v>
      </c>
      <c r="K18" s="10">
        <f t="shared" si="12"/>
        <v>39751</v>
      </c>
      <c r="L18" s="10">
        <f>SUM(F18:K18)</f>
        <v>81818</v>
      </c>
    </row>
    <row r="19" spans="1:14" ht="21.75" customHeight="1">
      <c r="A19" s="5"/>
      <c r="B19" s="6" t="s">
        <v>34</v>
      </c>
      <c r="C19" s="7" t="s">
        <v>35</v>
      </c>
      <c r="D19" s="8" t="s">
        <v>19</v>
      </c>
      <c r="E19" s="5"/>
      <c r="F19" s="10">
        <f t="shared" ref="F19:K19" si="13">F84</f>
        <v>29997.777777777777</v>
      </c>
      <c r="G19" s="10">
        <f t="shared" si="13"/>
        <v>46538.194444444438</v>
      </c>
      <c r="H19" s="10">
        <f t="shared" si="13"/>
        <v>70922.893055555556</v>
      </c>
      <c r="I19" s="10">
        <f t="shared" si="13"/>
        <v>89098.334375000006</v>
      </c>
      <c r="J19" s="10">
        <f t="shared" si="13"/>
        <v>110487.88423958333</v>
      </c>
      <c r="K19" s="10">
        <f t="shared" si="13"/>
        <v>130062.92552064583</v>
      </c>
      <c r="L19" s="10">
        <f>SUM(F19:K19)</f>
        <v>477108.00941300695</v>
      </c>
    </row>
    <row r="20" spans="1:14" ht="21.75" customHeight="1">
      <c r="A20" s="5"/>
      <c r="B20" s="6"/>
      <c r="C20" s="7" t="s">
        <v>36</v>
      </c>
      <c r="D20" s="8" t="s">
        <v>19</v>
      </c>
      <c r="E20" s="5"/>
      <c r="F20" s="74">
        <f t="shared" ref="F20:K20" si="14">F102</f>
        <v>2.4998148148148149</v>
      </c>
      <c r="G20" s="74">
        <f t="shared" si="14"/>
        <v>1.8615277777777774</v>
      </c>
      <c r="H20" s="74">
        <f t="shared" si="14"/>
        <v>1.4365294009753815</v>
      </c>
      <c r="I20" s="74">
        <f t="shared" si="14"/>
        <v>0.74248611979166668</v>
      </c>
      <c r="J20" s="74">
        <f t="shared" si="14"/>
        <v>0.50221765563446974</v>
      </c>
      <c r="K20" s="74">
        <f t="shared" si="14"/>
        <v>0.39413007733529043</v>
      </c>
      <c r="L20" s="74">
        <f>SUM(F20:K20)</f>
        <v>7.4367058463294011</v>
      </c>
    </row>
    <row r="21" spans="1:14" ht="21.75" customHeight="1">
      <c r="A21" s="5"/>
      <c r="B21" s="6"/>
      <c r="C21" s="7" t="s">
        <v>37</v>
      </c>
      <c r="D21" s="8" t="s">
        <v>38</v>
      </c>
      <c r="E21" s="5"/>
      <c r="F21" s="12">
        <f t="shared" ref="F21:K21" si="15">F105</f>
        <v>1.6334543299503666E-3</v>
      </c>
      <c r="G21" s="12">
        <f t="shared" si="15"/>
        <v>5.1140789375512955E-3</v>
      </c>
      <c r="H21" s="12">
        <f t="shared" si="15"/>
        <v>8.1581556401932043E-2</v>
      </c>
      <c r="I21" s="12">
        <f t="shared" si="15"/>
        <v>0.13937409814794868</v>
      </c>
      <c r="J21" s="12">
        <f t="shared" si="15"/>
        <v>0.21338086218464913</v>
      </c>
      <c r="K21" s="12">
        <f t="shared" si="15"/>
        <v>0.30562898566886409</v>
      </c>
      <c r="L21" s="12">
        <f>AVERAGE(F21:K21)</f>
        <v>0.12445217261181594</v>
      </c>
    </row>
    <row r="23" spans="1:14" ht="27.75" customHeight="1">
      <c r="A23" s="13" t="s">
        <v>39</v>
      </c>
      <c r="B23" s="13" t="s">
        <v>40</v>
      </c>
      <c r="C23" s="13" t="s">
        <v>5</v>
      </c>
      <c r="D23" s="13" t="s">
        <v>6</v>
      </c>
      <c r="E23" s="13" t="s">
        <v>41</v>
      </c>
      <c r="F23" s="13" t="s">
        <v>7</v>
      </c>
      <c r="G23" s="13" t="s">
        <v>8</v>
      </c>
      <c r="H23" s="13" t="s">
        <v>9</v>
      </c>
      <c r="I23" s="13" t="s">
        <v>10</v>
      </c>
      <c r="J23" s="13" t="s">
        <v>11</v>
      </c>
      <c r="K23" s="13" t="s">
        <v>12</v>
      </c>
      <c r="L23" s="13" t="s">
        <v>13</v>
      </c>
    </row>
    <row r="24" spans="1:14" ht="27.75" customHeight="1">
      <c r="A24" s="82" t="s">
        <v>42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</row>
    <row r="25" spans="1:14">
      <c r="A25" s="14" t="s">
        <v>14</v>
      </c>
      <c r="B25" s="15" t="s">
        <v>43</v>
      </c>
      <c r="C25" s="16" t="s">
        <v>44</v>
      </c>
      <c r="D25" s="17" t="s">
        <v>16</v>
      </c>
      <c r="E25" s="18" t="s">
        <v>45</v>
      </c>
      <c r="F25" s="19">
        <f>+F27</f>
        <v>250</v>
      </c>
      <c r="G25" s="62">
        <f>F25*G26+G27</f>
        <v>267.5</v>
      </c>
      <c r="H25" s="62">
        <f t="shared" ref="H25:K25" si="16">G25*H26+H27</f>
        <v>282.72500000000002</v>
      </c>
      <c r="I25" s="62">
        <f t="shared" si="16"/>
        <v>295.97075000000001</v>
      </c>
      <c r="J25" s="62">
        <f t="shared" si="16"/>
        <v>307.4945525</v>
      </c>
      <c r="K25" s="62">
        <f t="shared" si="16"/>
        <v>317.52026067499997</v>
      </c>
      <c r="L25" s="20"/>
    </row>
    <row r="26" spans="1:14">
      <c r="A26" s="14"/>
      <c r="B26" s="14"/>
      <c r="C26" s="68" t="s">
        <v>46</v>
      </c>
      <c r="D26" s="17"/>
      <c r="E26" s="18"/>
      <c r="F26" s="19"/>
      <c r="G26" s="76">
        <v>0.87</v>
      </c>
      <c r="H26" s="76">
        <v>0.87</v>
      </c>
      <c r="I26" s="76">
        <v>0.87</v>
      </c>
      <c r="J26" s="76">
        <v>0.87</v>
      </c>
      <c r="K26" s="76">
        <v>0.87</v>
      </c>
      <c r="L26" s="20"/>
    </row>
    <row r="27" spans="1:14">
      <c r="A27" s="14"/>
      <c r="B27" s="14"/>
      <c r="C27" s="68" t="s">
        <v>47</v>
      </c>
      <c r="D27" s="17" t="s">
        <v>16</v>
      </c>
      <c r="E27" s="18" t="s">
        <v>45</v>
      </c>
      <c r="F27" s="19">
        <v>250</v>
      </c>
      <c r="G27" s="19">
        <v>50</v>
      </c>
      <c r="H27" s="19">
        <v>50</v>
      </c>
      <c r="I27" s="19">
        <v>50</v>
      </c>
      <c r="J27" s="19">
        <v>50</v>
      </c>
      <c r="K27" s="19">
        <v>50</v>
      </c>
      <c r="L27" s="20"/>
    </row>
    <row r="28" spans="1:14">
      <c r="A28" s="14"/>
      <c r="B28" s="21"/>
      <c r="C28" s="16" t="s">
        <v>48</v>
      </c>
      <c r="D28" s="17" t="s">
        <v>16</v>
      </c>
      <c r="E28" s="18" t="s">
        <v>45</v>
      </c>
      <c r="F28" s="19">
        <v>10</v>
      </c>
      <c r="G28" s="19">
        <v>12</v>
      </c>
      <c r="H28" s="19">
        <v>15</v>
      </c>
      <c r="I28" s="19">
        <v>12</v>
      </c>
      <c r="J28" s="19">
        <v>10</v>
      </c>
      <c r="K28" s="19">
        <v>10</v>
      </c>
      <c r="L28" s="20"/>
    </row>
    <row r="29" spans="1:14">
      <c r="A29" s="14"/>
      <c r="B29" s="21"/>
      <c r="C29" s="16" t="s">
        <v>49</v>
      </c>
      <c r="D29" s="17" t="s">
        <v>16</v>
      </c>
      <c r="E29" s="18" t="s">
        <v>50</v>
      </c>
      <c r="F29" s="19"/>
      <c r="G29" s="19"/>
      <c r="H29" s="19"/>
      <c r="I29" s="19">
        <v>50</v>
      </c>
      <c r="J29" s="19">
        <v>50</v>
      </c>
      <c r="K29" s="19">
        <v>50</v>
      </c>
      <c r="L29" s="20"/>
    </row>
    <row r="30" spans="1:14">
      <c r="A30" s="14"/>
      <c r="B30" s="21"/>
      <c r="C30" s="16" t="s">
        <v>51</v>
      </c>
      <c r="D30" s="17" t="s">
        <v>16</v>
      </c>
      <c r="E30" s="18"/>
      <c r="F30" s="22">
        <f>F25*F28+F29</f>
        <v>2500</v>
      </c>
      <c r="G30" s="22">
        <f t="shared" ref="G30:K30" si="17">G25*G28+G29</f>
        <v>3210</v>
      </c>
      <c r="H30" s="22">
        <f t="shared" si="17"/>
        <v>4240.875</v>
      </c>
      <c r="I30" s="22">
        <f t="shared" si="17"/>
        <v>3601.6490000000003</v>
      </c>
      <c r="J30" s="22">
        <f t="shared" si="17"/>
        <v>3124.9455250000001</v>
      </c>
      <c r="K30" s="22">
        <f t="shared" si="17"/>
        <v>3225.2026067499996</v>
      </c>
      <c r="L30" s="23">
        <f>SUM(F30:K30)</f>
        <v>19902.672131750001</v>
      </c>
    </row>
    <row r="31" spans="1:14">
      <c r="A31" s="14"/>
      <c r="B31" s="15" t="s">
        <v>52</v>
      </c>
      <c r="C31" s="16" t="s">
        <v>53</v>
      </c>
      <c r="D31" s="17" t="s">
        <v>54</v>
      </c>
      <c r="E31" s="18" t="s">
        <v>55</v>
      </c>
      <c r="F31" s="24">
        <v>3500</v>
      </c>
      <c r="G31" s="24">
        <v>4000</v>
      </c>
      <c r="H31" s="24">
        <v>4500</v>
      </c>
      <c r="I31" s="24">
        <v>2000</v>
      </c>
      <c r="J31" s="24">
        <v>2000</v>
      </c>
      <c r="K31" s="24">
        <v>2000</v>
      </c>
      <c r="L31" s="25"/>
      <c r="N31" t="s">
        <v>56</v>
      </c>
    </row>
    <row r="32" spans="1:14">
      <c r="A32" s="14"/>
      <c r="B32" s="21"/>
      <c r="C32" s="16" t="s">
        <v>57</v>
      </c>
      <c r="D32" s="17" t="s">
        <v>54</v>
      </c>
      <c r="E32" s="18"/>
      <c r="F32" s="26">
        <f t="shared" ref="F32:K32" si="18">F25*F31</f>
        <v>875000</v>
      </c>
      <c r="G32" s="26">
        <f t="shared" si="18"/>
        <v>1070000</v>
      </c>
      <c r="H32" s="26">
        <f t="shared" si="18"/>
        <v>1272262.5</v>
      </c>
      <c r="I32" s="26">
        <f t="shared" si="18"/>
        <v>591941.5</v>
      </c>
      <c r="J32" s="26">
        <f t="shared" si="18"/>
        <v>614989.10499999998</v>
      </c>
      <c r="K32" s="26">
        <f t="shared" si="18"/>
        <v>635040.52134999994</v>
      </c>
      <c r="L32" s="27">
        <f>SUM(F32:K32)</f>
        <v>5059233.6263500005</v>
      </c>
    </row>
    <row r="33" spans="1:22">
      <c r="A33" s="14"/>
      <c r="B33" s="21"/>
      <c r="C33" s="16" t="s">
        <v>58</v>
      </c>
      <c r="D33" s="17" t="s">
        <v>19</v>
      </c>
      <c r="E33" s="18"/>
      <c r="F33" s="28">
        <f t="shared" ref="F33:K33" si="19">F32/$B$3</f>
        <v>9722.2222222222226</v>
      </c>
      <c r="G33" s="28">
        <f t="shared" si="19"/>
        <v>11888.888888888889</v>
      </c>
      <c r="H33" s="28">
        <f t="shared" si="19"/>
        <v>14136.25</v>
      </c>
      <c r="I33" s="28">
        <f t="shared" si="19"/>
        <v>6577.1277777777777</v>
      </c>
      <c r="J33" s="28">
        <f t="shared" si="19"/>
        <v>6833.2122777777777</v>
      </c>
      <c r="K33" s="28">
        <f t="shared" si="19"/>
        <v>7056.0057927777771</v>
      </c>
      <c r="L33" s="29">
        <f>SUM(F33:K33)</f>
        <v>56213.70695944444</v>
      </c>
    </row>
    <row r="34" spans="1:22">
      <c r="A34" s="14"/>
      <c r="B34" s="15" t="s">
        <v>59</v>
      </c>
      <c r="C34" s="16" t="s">
        <v>60</v>
      </c>
      <c r="D34" s="17" t="s">
        <v>54</v>
      </c>
      <c r="E34" s="18" t="s">
        <v>61</v>
      </c>
      <c r="F34" s="24">
        <v>240000</v>
      </c>
      <c r="G34" s="24">
        <v>240000</v>
      </c>
      <c r="H34" s="24">
        <v>240000</v>
      </c>
      <c r="I34" s="24">
        <v>360000</v>
      </c>
      <c r="J34" s="24">
        <v>480000</v>
      </c>
      <c r="K34" s="24">
        <v>600000</v>
      </c>
      <c r="L34" s="25"/>
    </row>
    <row r="35" spans="1:22" ht="15" thickBot="1">
      <c r="A35" s="14"/>
      <c r="B35" s="21"/>
      <c r="C35" s="16" t="s">
        <v>62</v>
      </c>
      <c r="D35" s="17" t="s">
        <v>19</v>
      </c>
      <c r="E35" s="18"/>
      <c r="F35" s="28">
        <f t="shared" ref="F35:K35" si="20">F34/$B$3</f>
        <v>2666.6666666666665</v>
      </c>
      <c r="G35" s="28">
        <f t="shared" si="20"/>
        <v>2666.6666666666665</v>
      </c>
      <c r="H35" s="56">
        <f t="shared" si="20"/>
        <v>2666.6666666666665</v>
      </c>
      <c r="I35" s="28">
        <f t="shared" si="20"/>
        <v>4000</v>
      </c>
      <c r="J35" s="28">
        <f t="shared" si="20"/>
        <v>5333.333333333333</v>
      </c>
      <c r="K35" s="56">
        <f t="shared" si="20"/>
        <v>6666.666666666667</v>
      </c>
      <c r="L35" s="29">
        <f>SUM(F35:K35)</f>
        <v>24000</v>
      </c>
    </row>
    <row r="36" spans="1:22" ht="15" thickBot="1">
      <c r="A36" s="14"/>
      <c r="B36" s="15" t="s">
        <v>63</v>
      </c>
      <c r="C36" s="16" t="s">
        <v>64</v>
      </c>
      <c r="D36" s="17" t="s">
        <v>54</v>
      </c>
      <c r="E36" s="18" t="s">
        <v>65</v>
      </c>
      <c r="F36" s="24">
        <f>U41</f>
        <v>300000</v>
      </c>
      <c r="G36" s="54">
        <f>U41</f>
        <v>300000</v>
      </c>
      <c r="H36" s="58">
        <f>U41</f>
        <v>300000</v>
      </c>
      <c r="I36" s="55">
        <f>U41</f>
        <v>300000</v>
      </c>
      <c r="J36" s="54">
        <f>U41</f>
        <v>300000</v>
      </c>
      <c r="K36" s="58">
        <f>U41</f>
        <v>300000</v>
      </c>
      <c r="L36" s="59"/>
      <c r="N36" t="s">
        <v>66</v>
      </c>
    </row>
    <row r="37" spans="1:22">
      <c r="A37" s="14"/>
      <c r="B37" s="21"/>
      <c r="C37" s="16" t="s">
        <v>67</v>
      </c>
      <c r="D37" s="17" t="s">
        <v>19</v>
      </c>
      <c r="E37" s="18"/>
      <c r="F37" s="28">
        <f t="shared" ref="F37:K37" si="21">F36/$B$3</f>
        <v>3333.3333333333335</v>
      </c>
      <c r="G37" s="28">
        <f t="shared" si="21"/>
        <v>3333.3333333333335</v>
      </c>
      <c r="H37" s="57">
        <f t="shared" si="21"/>
        <v>3333.3333333333335</v>
      </c>
      <c r="I37" s="28">
        <f t="shared" si="21"/>
        <v>3333.3333333333335</v>
      </c>
      <c r="J37" s="28">
        <f t="shared" si="21"/>
        <v>3333.3333333333335</v>
      </c>
      <c r="K37" s="57">
        <f t="shared" si="21"/>
        <v>3333.3333333333335</v>
      </c>
      <c r="L37" s="29">
        <f>SUM(F37:K37)</f>
        <v>20000</v>
      </c>
      <c r="P37" s="51">
        <f>SUM(F36:K36)</f>
        <v>1800000</v>
      </c>
      <c r="R37" t="s">
        <v>68</v>
      </c>
      <c r="S37" t="s">
        <v>69</v>
      </c>
      <c r="T37" t="s">
        <v>70</v>
      </c>
      <c r="U37" t="s">
        <v>71</v>
      </c>
    </row>
    <row r="38" spans="1:22">
      <c r="A38" s="30"/>
      <c r="B38" s="31"/>
      <c r="C38" s="32" t="s">
        <v>72</v>
      </c>
      <c r="D38" s="33" t="s">
        <v>19</v>
      </c>
      <c r="E38" s="34"/>
      <c r="F38" s="35">
        <f t="shared" ref="F38:K38" si="22">F33+F35+F37</f>
        <v>15722.222222222223</v>
      </c>
      <c r="G38" s="35">
        <f t="shared" si="22"/>
        <v>17888.888888888887</v>
      </c>
      <c r="H38" s="35">
        <f t="shared" si="22"/>
        <v>20136.25</v>
      </c>
      <c r="I38" s="35">
        <f t="shared" si="22"/>
        <v>13910.461111111112</v>
      </c>
      <c r="J38" s="35">
        <f t="shared" si="22"/>
        <v>15499.878944444445</v>
      </c>
      <c r="K38" s="35">
        <f t="shared" si="22"/>
        <v>17056.005792777778</v>
      </c>
      <c r="L38" s="36">
        <f>SUM(F38:K38)</f>
        <v>100213.70695944445</v>
      </c>
      <c r="P38">
        <f>P37/B3</f>
        <v>20000</v>
      </c>
      <c r="R38" s="52">
        <v>50000</v>
      </c>
      <c r="S38">
        <v>3</v>
      </c>
      <c r="T38" s="52">
        <f>R38*S38</f>
        <v>150000</v>
      </c>
      <c r="U38" s="53">
        <f>T38/3</f>
        <v>50000</v>
      </c>
    </row>
    <row r="39" spans="1:22">
      <c r="A39" s="14"/>
      <c r="B39" s="21"/>
      <c r="C39" s="16" t="s">
        <v>73</v>
      </c>
      <c r="D39" s="17" t="s">
        <v>54</v>
      </c>
      <c r="E39" s="18" t="s">
        <v>74</v>
      </c>
      <c r="F39" s="26">
        <f t="shared" ref="F39:K39" si="23">6500+25000</f>
        <v>31500</v>
      </c>
      <c r="G39" s="26">
        <f t="shared" si="23"/>
        <v>31500</v>
      </c>
      <c r="H39" s="26">
        <f t="shared" si="23"/>
        <v>31500</v>
      </c>
      <c r="I39" s="26">
        <f t="shared" si="23"/>
        <v>31500</v>
      </c>
      <c r="J39" s="26">
        <f t="shared" si="23"/>
        <v>31500</v>
      </c>
      <c r="K39" s="26">
        <f t="shared" si="23"/>
        <v>31500</v>
      </c>
      <c r="L39" s="25"/>
      <c r="R39" s="52">
        <v>25000</v>
      </c>
      <c r="S39">
        <v>10</v>
      </c>
      <c r="T39" s="52">
        <f>R39*S39</f>
        <v>250000</v>
      </c>
      <c r="U39" s="53">
        <f>T39/3</f>
        <v>83333.333333333328</v>
      </c>
    </row>
    <row r="40" spans="1:22">
      <c r="A40" s="14"/>
      <c r="B40" s="21"/>
      <c r="C40" s="16" t="s">
        <v>75</v>
      </c>
      <c r="D40" s="17" t="s">
        <v>54</v>
      </c>
      <c r="E40" s="18"/>
      <c r="F40" s="26">
        <f t="shared" ref="F40:K40" si="24">IF(F25=0,"-",(F32+F34+F36)/F25)</f>
        <v>5660</v>
      </c>
      <c r="G40" s="26">
        <f t="shared" si="24"/>
        <v>6018.6915887850464</v>
      </c>
      <c r="H40" s="26">
        <f t="shared" si="24"/>
        <v>6409.9831992218578</v>
      </c>
      <c r="I40" s="26">
        <f t="shared" si="24"/>
        <v>4229.9500879732204</v>
      </c>
      <c r="J40" s="26">
        <f t="shared" si="24"/>
        <v>4536.6303033937484</v>
      </c>
      <c r="K40" s="26">
        <f t="shared" si="24"/>
        <v>4834.464793165439</v>
      </c>
      <c r="L40" s="25"/>
      <c r="R40" s="52">
        <v>10000</v>
      </c>
      <c r="S40">
        <v>50</v>
      </c>
      <c r="T40" s="52">
        <f>R40*S40</f>
        <v>500000</v>
      </c>
      <c r="U40" s="53">
        <f>T40/3</f>
        <v>166666.66666666666</v>
      </c>
    </row>
    <row r="41" spans="1:22">
      <c r="A41" s="14"/>
      <c r="B41" s="15" t="s">
        <v>20</v>
      </c>
      <c r="C41" s="60" t="s">
        <v>76</v>
      </c>
      <c r="D41" s="17" t="s">
        <v>54</v>
      </c>
      <c r="E41" s="18" t="s">
        <v>77</v>
      </c>
      <c r="F41" s="69">
        <f>F42*F25+F43</f>
        <v>500000</v>
      </c>
      <c r="G41" s="69">
        <f t="shared" ref="G41:K41" si="25">G42*G25+G43</f>
        <v>635000</v>
      </c>
      <c r="H41" s="69">
        <f t="shared" si="25"/>
        <v>665450</v>
      </c>
      <c r="I41" s="69">
        <f t="shared" si="25"/>
        <v>691941.5</v>
      </c>
      <c r="J41" s="69">
        <f t="shared" si="25"/>
        <v>714989.10499999998</v>
      </c>
      <c r="K41" s="69">
        <f t="shared" si="25"/>
        <v>735040.52134999994</v>
      </c>
      <c r="L41" s="25"/>
      <c r="N41" t="s">
        <v>78</v>
      </c>
      <c r="T41" s="53">
        <f>SUM(T38:T40)</f>
        <v>900000</v>
      </c>
      <c r="U41" s="53">
        <f>SUM(U38:U40)</f>
        <v>300000</v>
      </c>
      <c r="V41" t="s">
        <v>79</v>
      </c>
    </row>
    <row r="42" spans="1:22">
      <c r="A42" s="14"/>
      <c r="B42" s="14"/>
      <c r="C42" s="67" t="s">
        <v>80</v>
      </c>
      <c r="D42" s="17" t="s">
        <v>54</v>
      </c>
      <c r="E42" s="18" t="s">
        <v>77</v>
      </c>
      <c r="F42" s="24">
        <v>2000</v>
      </c>
      <c r="G42" s="24">
        <v>2000</v>
      </c>
      <c r="H42" s="24">
        <v>2000</v>
      </c>
      <c r="I42" s="24">
        <v>2000</v>
      </c>
      <c r="J42" s="24">
        <v>2000</v>
      </c>
      <c r="K42" s="24">
        <v>2000</v>
      </c>
      <c r="L42" s="25"/>
      <c r="T42" s="53"/>
      <c r="U42" s="53"/>
    </row>
    <row r="43" spans="1:22" s="65" customFormat="1" ht="14.1">
      <c r="A43" s="63"/>
      <c r="B43" s="63"/>
      <c r="C43" s="67" t="s">
        <v>81</v>
      </c>
      <c r="D43" s="17" t="s">
        <v>54</v>
      </c>
      <c r="E43" s="18"/>
      <c r="F43" s="26"/>
      <c r="G43" s="26">
        <f>G27*G$42</f>
        <v>100000</v>
      </c>
      <c r="H43" s="26">
        <f t="shared" ref="H43:K43" si="26">H27*H$42</f>
        <v>100000</v>
      </c>
      <c r="I43" s="26">
        <f t="shared" si="26"/>
        <v>100000</v>
      </c>
      <c r="J43" s="26">
        <f t="shared" si="26"/>
        <v>100000</v>
      </c>
      <c r="K43" s="26">
        <f t="shared" si="26"/>
        <v>100000</v>
      </c>
      <c r="L43" s="64"/>
      <c r="T43" s="66"/>
      <c r="U43" s="66"/>
    </row>
    <row r="44" spans="1:22">
      <c r="A44" s="14"/>
      <c r="B44" s="21"/>
      <c r="C44" s="60" t="s">
        <v>82</v>
      </c>
      <c r="D44" s="17" t="s">
        <v>54</v>
      </c>
      <c r="E44" s="18" t="s">
        <v>77</v>
      </c>
      <c r="F44" s="26">
        <f>(F$25*F45*1500)+(F$25*F46*1500)</f>
        <v>0</v>
      </c>
      <c r="G44" s="26">
        <f t="shared" ref="G44:K44" si="27">(G$25*G45*1500)+(G$25*G46*1500)</f>
        <v>300937.5</v>
      </c>
      <c r="H44" s="26">
        <f t="shared" si="27"/>
        <v>275656.87500000006</v>
      </c>
      <c r="I44" s="26">
        <f t="shared" si="27"/>
        <v>332967.09375</v>
      </c>
      <c r="J44" s="26">
        <f t="shared" si="27"/>
        <v>345931.37156250002</v>
      </c>
      <c r="K44" s="26">
        <f t="shared" si="27"/>
        <v>309582.25415812497</v>
      </c>
      <c r="L44" s="25"/>
      <c r="N44" t="s">
        <v>83</v>
      </c>
    </row>
    <row r="45" spans="1:22">
      <c r="A45" s="14"/>
      <c r="B45" s="21"/>
      <c r="C45" s="67" t="s">
        <v>84</v>
      </c>
      <c r="D45" s="17" t="s">
        <v>54</v>
      </c>
      <c r="E45" s="61" t="s">
        <v>29</v>
      </c>
      <c r="F45" s="37"/>
      <c r="G45" s="37">
        <v>0.55000000000000004</v>
      </c>
      <c r="H45" s="37">
        <v>0.5</v>
      </c>
      <c r="I45" s="37">
        <v>0.55000000000000004</v>
      </c>
      <c r="J45" s="37">
        <v>0.55000000000000004</v>
      </c>
      <c r="K45" s="37">
        <v>0.5</v>
      </c>
      <c r="L45" s="25"/>
      <c r="O45" t="s">
        <v>85</v>
      </c>
    </row>
    <row r="46" spans="1:22">
      <c r="A46" s="14"/>
      <c r="B46" s="21"/>
      <c r="C46" s="67" t="s">
        <v>86</v>
      </c>
      <c r="D46" s="17" t="s">
        <v>54</v>
      </c>
      <c r="E46" s="61" t="s">
        <v>29</v>
      </c>
      <c r="F46" s="37"/>
      <c r="G46" s="37">
        <v>0.2</v>
      </c>
      <c r="H46" s="37">
        <v>0.15</v>
      </c>
      <c r="I46" s="37">
        <v>0.2</v>
      </c>
      <c r="J46" s="37">
        <v>0.2</v>
      </c>
      <c r="K46" s="37">
        <v>0.15</v>
      </c>
      <c r="L46" s="25"/>
      <c r="O46" t="s">
        <v>87</v>
      </c>
    </row>
    <row r="47" spans="1:22">
      <c r="A47" s="14"/>
      <c r="B47" s="21"/>
      <c r="C47" s="16" t="s">
        <v>88</v>
      </c>
      <c r="D47" s="17" t="s">
        <v>54</v>
      </c>
      <c r="E47" s="18"/>
      <c r="F47" s="26">
        <f>F41+F44</f>
        <v>500000</v>
      </c>
      <c r="G47" s="26">
        <f t="shared" ref="G47:K47" si="28">G41+G44</f>
        <v>935937.5</v>
      </c>
      <c r="H47" s="26">
        <f t="shared" si="28"/>
        <v>941106.875</v>
      </c>
      <c r="I47" s="26">
        <f t="shared" si="28"/>
        <v>1024908.59375</v>
      </c>
      <c r="J47" s="26">
        <f t="shared" si="28"/>
        <v>1060920.4765625</v>
      </c>
      <c r="K47" s="26">
        <f t="shared" si="28"/>
        <v>1044622.7755081248</v>
      </c>
      <c r="L47" s="27">
        <f>SUM(F47:K47)</f>
        <v>5507496.2208206244</v>
      </c>
    </row>
    <row r="48" spans="1:22">
      <c r="A48" s="14"/>
      <c r="B48" s="21"/>
      <c r="C48" s="16" t="s">
        <v>89</v>
      </c>
      <c r="D48" s="17" t="s">
        <v>19</v>
      </c>
      <c r="E48" s="18"/>
      <c r="F48" s="28">
        <f t="shared" ref="F48:K48" si="29">F47/$B$3</f>
        <v>5555.5555555555557</v>
      </c>
      <c r="G48" s="28">
        <f t="shared" si="29"/>
        <v>10399.305555555555</v>
      </c>
      <c r="H48" s="28">
        <f t="shared" si="29"/>
        <v>10456.743055555555</v>
      </c>
      <c r="I48" s="28">
        <f t="shared" si="29"/>
        <v>11387.873263888889</v>
      </c>
      <c r="J48" s="28">
        <f t="shared" si="29"/>
        <v>11788.00529513889</v>
      </c>
      <c r="K48" s="28">
        <f t="shared" si="29"/>
        <v>11606.919727868053</v>
      </c>
      <c r="L48" s="29">
        <f>SUM(F48:K48)</f>
        <v>61194.402453562492</v>
      </c>
    </row>
    <row r="49" spans="1:14">
      <c r="A49" s="14"/>
      <c r="B49" s="21"/>
      <c r="C49" s="16" t="s">
        <v>90</v>
      </c>
      <c r="D49" s="17" t="s">
        <v>54</v>
      </c>
      <c r="E49" s="18" t="s">
        <v>91</v>
      </c>
      <c r="F49" s="26">
        <f t="shared" ref="F49:K49" si="30">IF(F30=0,"-",F47/F30)</f>
        <v>200</v>
      </c>
      <c r="G49" s="26">
        <f t="shared" si="30"/>
        <v>291.56931464174454</v>
      </c>
      <c r="H49" s="26">
        <f t="shared" si="30"/>
        <v>221.91337282989949</v>
      </c>
      <c r="I49" s="26">
        <f t="shared" si="30"/>
        <v>284.56648433814621</v>
      </c>
      <c r="J49" s="26">
        <f t="shared" si="30"/>
        <v>339.50047067220476</v>
      </c>
      <c r="K49" s="26">
        <f t="shared" si="30"/>
        <v>323.89369068530533</v>
      </c>
      <c r="L49" s="25"/>
    </row>
    <row r="50" spans="1:14">
      <c r="A50" s="30"/>
      <c r="B50" s="31"/>
      <c r="C50" s="32" t="s">
        <v>92</v>
      </c>
      <c r="D50" s="33" t="s">
        <v>19</v>
      </c>
      <c r="E50" s="34"/>
      <c r="F50" s="35">
        <f t="shared" ref="F50:K50" si="31">F38+F48</f>
        <v>21277.777777777777</v>
      </c>
      <c r="G50" s="35">
        <f t="shared" si="31"/>
        <v>28288.194444444442</v>
      </c>
      <c r="H50" s="35">
        <f t="shared" si="31"/>
        <v>30592.993055555555</v>
      </c>
      <c r="I50" s="35">
        <f t="shared" si="31"/>
        <v>25298.334374999999</v>
      </c>
      <c r="J50" s="35">
        <f t="shared" si="31"/>
        <v>27287.884239583334</v>
      </c>
      <c r="K50" s="35">
        <f t="shared" si="31"/>
        <v>28662.925520645833</v>
      </c>
      <c r="L50" s="36">
        <f>SUM(F50:K50)</f>
        <v>161408.10941300695</v>
      </c>
    </row>
    <row r="51" spans="1:14" ht="27.75" customHeight="1">
      <c r="A51" s="83" t="s">
        <v>93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</row>
    <row r="52" spans="1:14">
      <c r="A52" s="14" t="s">
        <v>22</v>
      </c>
      <c r="B52" s="15" t="s">
        <v>94</v>
      </c>
      <c r="C52" s="16" t="s">
        <v>23</v>
      </c>
      <c r="D52" s="17" t="s">
        <v>16</v>
      </c>
      <c r="E52" s="18" t="s">
        <v>45</v>
      </c>
      <c r="F52" s="62">
        <v>12000</v>
      </c>
      <c r="G52" s="62">
        <v>25000</v>
      </c>
      <c r="H52" s="62">
        <v>49371</v>
      </c>
      <c r="I52" s="62">
        <v>120000</v>
      </c>
      <c r="J52" s="62">
        <v>220000</v>
      </c>
      <c r="K52" s="62">
        <v>330000</v>
      </c>
      <c r="L52" s="20"/>
      <c r="N52" t="s">
        <v>95</v>
      </c>
    </row>
    <row r="53" spans="1:14">
      <c r="A53" s="14"/>
      <c r="B53" s="21"/>
      <c r="C53" s="16" t="s">
        <v>100</v>
      </c>
      <c r="D53" s="17" t="s">
        <v>29</v>
      </c>
      <c r="E53" s="18"/>
      <c r="F53" s="37">
        <v>0.15</v>
      </c>
      <c r="G53" s="37">
        <v>0.16</v>
      </c>
      <c r="H53" s="37">
        <v>0.17</v>
      </c>
      <c r="I53" s="37">
        <v>0.18</v>
      </c>
      <c r="J53" s="37">
        <v>0.19</v>
      </c>
      <c r="K53" s="37">
        <v>0.2</v>
      </c>
      <c r="L53" s="38"/>
    </row>
    <row r="54" spans="1:14">
      <c r="A54" s="14"/>
      <c r="B54" s="21"/>
      <c r="C54" s="16" t="s">
        <v>101</v>
      </c>
      <c r="D54" s="17" t="s">
        <v>16</v>
      </c>
      <c r="E54" s="18"/>
      <c r="F54" s="22">
        <f t="shared" ref="F54:K54" si="32">ROUND(F52*F53,0)</f>
        <v>1800</v>
      </c>
      <c r="G54" s="22">
        <f t="shared" si="32"/>
        <v>4000</v>
      </c>
      <c r="H54" s="22">
        <f t="shared" si="32"/>
        <v>8393</v>
      </c>
      <c r="I54" s="22">
        <f t="shared" si="32"/>
        <v>21600</v>
      </c>
      <c r="J54" s="22">
        <f t="shared" si="32"/>
        <v>41800</v>
      </c>
      <c r="K54" s="22">
        <f t="shared" si="32"/>
        <v>66000</v>
      </c>
      <c r="L54" s="23">
        <f>SUM(F54:K54)</f>
        <v>143593</v>
      </c>
    </row>
    <row r="55" spans="1:14">
      <c r="A55" s="14"/>
      <c r="B55" s="15" t="s">
        <v>102</v>
      </c>
      <c r="C55" s="16" t="s">
        <v>103</v>
      </c>
      <c r="D55" s="17" t="s">
        <v>29</v>
      </c>
      <c r="E55" s="18"/>
      <c r="F55" s="37">
        <v>0.3</v>
      </c>
      <c r="G55" s="37">
        <v>0.3</v>
      </c>
      <c r="H55" s="37">
        <v>0.3</v>
      </c>
      <c r="I55" s="37">
        <v>0.3</v>
      </c>
      <c r="J55" s="37">
        <v>0.3</v>
      </c>
      <c r="K55" s="37">
        <v>0.3</v>
      </c>
      <c r="L55" s="38"/>
    </row>
    <row r="56" spans="1:14">
      <c r="A56" s="14"/>
      <c r="B56" s="21"/>
      <c r="C56" s="16" t="s">
        <v>104</v>
      </c>
      <c r="D56" s="17" t="s">
        <v>16</v>
      </c>
      <c r="E56" s="18"/>
      <c r="F56" s="22">
        <f t="shared" ref="F56:K56" si="33">ROUND(F52*F55,0)</f>
        <v>3600</v>
      </c>
      <c r="G56" s="22">
        <f t="shared" si="33"/>
        <v>7500</v>
      </c>
      <c r="H56" s="22">
        <f t="shared" si="33"/>
        <v>14811</v>
      </c>
      <c r="I56" s="22">
        <f t="shared" si="33"/>
        <v>36000</v>
      </c>
      <c r="J56" s="22">
        <f t="shared" si="33"/>
        <v>66000</v>
      </c>
      <c r="K56" s="22">
        <f t="shared" si="33"/>
        <v>99000</v>
      </c>
      <c r="L56" s="23">
        <f>SUM(F56:K56)</f>
        <v>226911</v>
      </c>
    </row>
    <row r="57" spans="1:14">
      <c r="A57" s="14"/>
      <c r="B57" s="15" t="s">
        <v>105</v>
      </c>
      <c r="C57" s="16" t="s">
        <v>106</v>
      </c>
      <c r="D57" s="17" t="s">
        <v>19</v>
      </c>
      <c r="E57" s="18"/>
      <c r="F57" s="39">
        <v>0.2</v>
      </c>
      <c r="G57" s="39">
        <v>0.5</v>
      </c>
      <c r="H57" s="39">
        <v>0.9</v>
      </c>
      <c r="I57" s="39">
        <v>0.8</v>
      </c>
      <c r="J57" s="39">
        <v>0.7</v>
      </c>
      <c r="K57" s="39">
        <v>0.6</v>
      </c>
      <c r="L57" s="40"/>
    </row>
    <row r="58" spans="1:14">
      <c r="A58" s="14"/>
      <c r="B58" s="21"/>
      <c r="C58" s="16" t="s">
        <v>107</v>
      </c>
      <c r="D58" s="17" t="s">
        <v>19</v>
      </c>
      <c r="E58" s="18"/>
      <c r="F58" s="28">
        <f t="shared" ref="F58:K58" si="34">F56*F57</f>
        <v>720</v>
      </c>
      <c r="G58" s="28">
        <f t="shared" si="34"/>
        <v>3750</v>
      </c>
      <c r="H58" s="28">
        <f t="shared" si="34"/>
        <v>13329.9</v>
      </c>
      <c r="I58" s="28">
        <f t="shared" si="34"/>
        <v>28800</v>
      </c>
      <c r="J58" s="28">
        <f t="shared" si="34"/>
        <v>46200</v>
      </c>
      <c r="K58" s="28">
        <f t="shared" si="34"/>
        <v>59400</v>
      </c>
      <c r="L58" s="29">
        <f>SUM(F58:K58)</f>
        <v>152199.9</v>
      </c>
    </row>
    <row r="59" spans="1:14">
      <c r="A59" s="14"/>
      <c r="B59" s="21"/>
      <c r="C59" s="16" t="s">
        <v>108</v>
      </c>
      <c r="D59" s="17" t="s">
        <v>19</v>
      </c>
      <c r="E59" s="18"/>
      <c r="F59" s="28">
        <f t="shared" ref="F59:K59" si="35">IF(F52=0,"-",F58/F52)</f>
        <v>0.06</v>
      </c>
      <c r="G59" s="28">
        <f t="shared" si="35"/>
        <v>0.15</v>
      </c>
      <c r="H59" s="28">
        <f t="shared" si="35"/>
        <v>0.26999453120252781</v>
      </c>
      <c r="I59" s="28">
        <f t="shared" si="35"/>
        <v>0.24</v>
      </c>
      <c r="J59" s="28">
        <f t="shared" si="35"/>
        <v>0.21</v>
      </c>
      <c r="K59" s="28">
        <f t="shared" si="35"/>
        <v>0.18</v>
      </c>
      <c r="L59" s="40"/>
    </row>
    <row r="60" spans="1:14" ht="27.75" customHeight="1">
      <c r="A60" s="84" t="s">
        <v>109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</row>
    <row r="61" spans="1:14">
      <c r="A61" s="14" t="s">
        <v>26</v>
      </c>
      <c r="B61" s="15" t="s">
        <v>110</v>
      </c>
      <c r="C61" s="16" t="s">
        <v>111</v>
      </c>
      <c r="D61" s="17" t="s">
        <v>16</v>
      </c>
      <c r="E61" s="18"/>
      <c r="F61" s="19">
        <v>16</v>
      </c>
      <c r="G61" s="19">
        <v>16</v>
      </c>
      <c r="H61" s="19">
        <v>16</v>
      </c>
      <c r="I61" s="19">
        <v>16</v>
      </c>
      <c r="J61" s="19">
        <v>16</v>
      </c>
      <c r="K61" s="19">
        <v>16</v>
      </c>
      <c r="L61" s="20"/>
    </row>
    <row r="62" spans="1:14">
      <c r="A62" s="14"/>
      <c r="B62" s="21"/>
      <c r="C62" s="16" t="s">
        <v>112</v>
      </c>
      <c r="D62" s="17" t="s">
        <v>16</v>
      </c>
      <c r="E62" s="18"/>
      <c r="F62" s="19">
        <v>4</v>
      </c>
      <c r="G62" s="19">
        <v>4</v>
      </c>
      <c r="H62" s="19">
        <v>4</v>
      </c>
      <c r="I62" s="19">
        <v>4</v>
      </c>
      <c r="J62" s="19">
        <v>4</v>
      </c>
      <c r="K62" s="19">
        <v>4</v>
      </c>
      <c r="L62" s="20"/>
    </row>
    <row r="63" spans="1:14">
      <c r="A63" s="14"/>
      <c r="B63" s="15" t="s">
        <v>28</v>
      </c>
      <c r="C63" s="16" t="s">
        <v>113</v>
      </c>
      <c r="D63" s="17" t="s">
        <v>29</v>
      </c>
      <c r="E63" s="18"/>
      <c r="F63" s="37">
        <v>0.7</v>
      </c>
      <c r="G63" s="37">
        <v>0.75</v>
      </c>
      <c r="H63" s="37">
        <v>0.8</v>
      </c>
      <c r="I63" s="37">
        <v>0.85</v>
      </c>
      <c r="J63" s="37">
        <v>0.9</v>
      </c>
      <c r="K63" s="37">
        <v>0.9</v>
      </c>
      <c r="L63" s="38"/>
    </row>
    <row r="64" spans="1:14">
      <c r="A64" s="14"/>
      <c r="B64" s="21"/>
      <c r="C64" s="16" t="s">
        <v>114</v>
      </c>
      <c r="D64" s="17" t="s">
        <v>16</v>
      </c>
      <c r="E64" s="18"/>
      <c r="F64" s="19">
        <v>10</v>
      </c>
      <c r="G64" s="19">
        <v>10</v>
      </c>
      <c r="H64" s="19">
        <v>10</v>
      </c>
      <c r="I64" s="19">
        <v>10</v>
      </c>
      <c r="J64" s="19">
        <v>10</v>
      </c>
      <c r="K64" s="19">
        <v>10</v>
      </c>
      <c r="L64" s="20"/>
    </row>
    <row r="65" spans="1:12">
      <c r="A65" s="14"/>
      <c r="B65" s="15" t="s">
        <v>91</v>
      </c>
      <c r="C65" s="16" t="s">
        <v>115</v>
      </c>
      <c r="D65" s="17" t="s">
        <v>16</v>
      </c>
      <c r="E65" s="18"/>
      <c r="F65" s="22">
        <f>ROUND(F30*F61*F62*F63,0)</f>
        <v>112000</v>
      </c>
      <c r="G65" s="22">
        <f>ROUND(G30*G61*G62*G63,0)</f>
        <v>154080</v>
      </c>
      <c r="H65" s="22">
        <f>ROUND(H30*H61*H62*H63,0)</f>
        <v>217133</v>
      </c>
      <c r="I65" s="22">
        <f>ROUND(I30*I61*I62*I63,0)</f>
        <v>195930</v>
      </c>
      <c r="J65" s="22">
        <f>ROUND(J30*J61*J62*J63,0)</f>
        <v>179997</v>
      </c>
      <c r="K65" s="22">
        <f>ROUND(K30*K61*K62*K63,0)</f>
        <v>185772</v>
      </c>
      <c r="L65" s="23">
        <f>SUM(F65:K65)</f>
        <v>1044912</v>
      </c>
    </row>
    <row r="66" spans="1:12">
      <c r="A66" s="14"/>
      <c r="B66" s="21"/>
      <c r="C66" s="16" t="s">
        <v>116</v>
      </c>
      <c r="D66" s="17" t="s">
        <v>16</v>
      </c>
      <c r="E66" s="18"/>
      <c r="F66" s="22">
        <f>IF(F30=0,"-",F65/F30)</f>
        <v>44.8</v>
      </c>
      <c r="G66" s="22">
        <f>IF(G30=0,"-",G65/G30)</f>
        <v>48</v>
      </c>
      <c r="H66" s="22">
        <f>IF(H30=0,"-",H65/H30)</f>
        <v>51.200047160078995</v>
      </c>
      <c r="I66" s="22">
        <f>IF(I30=0,"-",I65/I30)</f>
        <v>54.400081740336155</v>
      </c>
      <c r="J66" s="22">
        <f>IF(J30=0,"-",J65/J30)</f>
        <v>57.60004408396847</v>
      </c>
      <c r="K66" s="22">
        <f>IF(K30=0,"-",K65/K30)</f>
        <v>57.600102273016688</v>
      </c>
      <c r="L66" s="20"/>
    </row>
    <row r="67" spans="1:12">
      <c r="A67" s="14"/>
      <c r="B67" s="21"/>
      <c r="C67" s="16" t="s">
        <v>117</v>
      </c>
      <c r="D67" s="17" t="s">
        <v>16</v>
      </c>
      <c r="E67" s="18"/>
      <c r="F67" s="22">
        <f t="shared" ref="F67:K67" si="36">IF(F64=0,"-",ROUND(F65/F64,0))</f>
        <v>11200</v>
      </c>
      <c r="G67" s="22">
        <f t="shared" si="36"/>
        <v>15408</v>
      </c>
      <c r="H67" s="22">
        <f t="shared" si="36"/>
        <v>21713</v>
      </c>
      <c r="I67" s="22">
        <f t="shared" si="36"/>
        <v>19593</v>
      </c>
      <c r="J67" s="22">
        <f t="shared" si="36"/>
        <v>18000</v>
      </c>
      <c r="K67" s="22">
        <f t="shared" si="36"/>
        <v>18577</v>
      </c>
      <c r="L67" s="23">
        <f>SUM(F67:K67)</f>
        <v>104491</v>
      </c>
    </row>
    <row r="68" spans="1:12">
      <c r="A68" s="14"/>
      <c r="B68" s="21"/>
      <c r="C68" s="16" t="s">
        <v>118</v>
      </c>
      <c r="D68" s="17" t="s">
        <v>29</v>
      </c>
      <c r="E68" s="18"/>
      <c r="F68" s="41">
        <f>IF(F52=0,"-",F67/F52)</f>
        <v>0.93333333333333335</v>
      </c>
      <c r="G68" s="41">
        <f>IF(G52=0,"-",G67/G52)</f>
        <v>0.61631999999999998</v>
      </c>
      <c r="H68" s="41">
        <f>IF(H52=0,"-",H67/H52)</f>
        <v>0.43979259079216543</v>
      </c>
      <c r="I68" s="41">
        <f>IF(I52=0,"-",I67/I52)</f>
        <v>0.163275</v>
      </c>
      <c r="J68" s="41">
        <f>IF(J52=0,"-",J67/J52)</f>
        <v>8.1818181818181818E-2</v>
      </c>
      <c r="K68" s="41">
        <f>IF(K52=0,"-",K67/K52)</f>
        <v>5.6293939393939396E-2</v>
      </c>
      <c r="L68" s="38"/>
    </row>
    <row r="69" spans="1:12">
      <c r="A69" s="14"/>
      <c r="B69" s="15" t="s">
        <v>119</v>
      </c>
      <c r="C69" s="16" t="s">
        <v>120</v>
      </c>
      <c r="D69" s="17" t="s">
        <v>54</v>
      </c>
      <c r="E69" s="18" t="s">
        <v>121</v>
      </c>
      <c r="F69" s="24">
        <v>100</v>
      </c>
      <c r="G69" s="24">
        <v>100</v>
      </c>
      <c r="H69" s="24">
        <v>100</v>
      </c>
      <c r="I69" s="24">
        <v>100</v>
      </c>
      <c r="J69" s="24">
        <v>100</v>
      </c>
      <c r="K69" s="24">
        <v>100</v>
      </c>
      <c r="L69" s="25"/>
    </row>
    <row r="70" spans="1:12">
      <c r="A70" s="14"/>
      <c r="B70" s="21"/>
      <c r="C70" s="16" t="s">
        <v>122</v>
      </c>
      <c r="D70" s="17" t="s">
        <v>54</v>
      </c>
      <c r="E70" s="18"/>
      <c r="F70" s="26">
        <f>IF(F65=0,"-",F47/F65)</f>
        <v>4.4642857142857144</v>
      </c>
      <c r="G70" s="26">
        <f>IF(G65=0,"-",G47/G65)</f>
        <v>6.0743607217030116</v>
      </c>
      <c r="H70" s="26">
        <f>IF(H65=0,"-",H47/H65)</f>
        <v>4.3342415708344655</v>
      </c>
      <c r="I70" s="26">
        <f>IF(I65=0,"-",I47/I65)</f>
        <v>5.2309936903485941</v>
      </c>
      <c r="J70" s="26">
        <f>IF(J65=0,"-",J47/J65)</f>
        <v>5.8941008825841541</v>
      </c>
      <c r="K70" s="26">
        <f>IF(K65=0,"-",K47/K65)</f>
        <v>5.6231443678709647</v>
      </c>
      <c r="L70" s="25"/>
    </row>
    <row r="71" spans="1:12" ht="27.75" customHeight="1">
      <c r="A71" s="85" t="s">
        <v>123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</row>
    <row r="72" spans="1:12">
      <c r="A72" s="14" t="s">
        <v>124</v>
      </c>
      <c r="B72" s="15" t="s">
        <v>125</v>
      </c>
      <c r="C72" s="16" t="s">
        <v>126</v>
      </c>
      <c r="D72" s="17" t="s">
        <v>19</v>
      </c>
      <c r="E72" s="18" t="s">
        <v>45</v>
      </c>
      <c r="F72" s="28">
        <f t="shared" ref="F72:K72" si="37">F38</f>
        <v>15722.222222222223</v>
      </c>
      <c r="G72" s="28">
        <f t="shared" si="37"/>
        <v>17888.888888888887</v>
      </c>
      <c r="H72" s="28">
        <f t="shared" si="37"/>
        <v>20136.25</v>
      </c>
      <c r="I72" s="28">
        <f t="shared" si="37"/>
        <v>13910.461111111112</v>
      </c>
      <c r="J72" s="28">
        <f t="shared" si="37"/>
        <v>15499.878944444445</v>
      </c>
      <c r="K72" s="28">
        <f t="shared" si="37"/>
        <v>17056.005792777778</v>
      </c>
      <c r="L72" s="29">
        <f t="shared" ref="L72:L86" si="38">SUM(F72:K72)</f>
        <v>100213.70695944445</v>
      </c>
    </row>
    <row r="73" spans="1:12">
      <c r="A73" s="14"/>
      <c r="B73" s="15" t="s">
        <v>127</v>
      </c>
      <c r="C73" s="16" t="s">
        <v>128</v>
      </c>
      <c r="D73" s="17" t="s">
        <v>19</v>
      </c>
      <c r="E73" s="18" t="s">
        <v>45</v>
      </c>
      <c r="F73" s="39">
        <v>0</v>
      </c>
      <c r="G73" s="39">
        <v>0</v>
      </c>
      <c r="H73" s="39">
        <v>5000</v>
      </c>
      <c r="I73" s="39">
        <v>5000</v>
      </c>
      <c r="J73" s="39">
        <v>5000</v>
      </c>
      <c r="K73" s="39">
        <v>5000</v>
      </c>
      <c r="L73" s="29">
        <f t="shared" si="38"/>
        <v>20000</v>
      </c>
    </row>
    <row r="74" spans="1:12">
      <c r="A74" s="14"/>
      <c r="B74" s="15" t="s">
        <v>129</v>
      </c>
      <c r="C74" s="16" t="s">
        <v>130</v>
      </c>
      <c r="D74" s="17" t="s">
        <v>19</v>
      </c>
      <c r="E74" s="18" t="s">
        <v>45</v>
      </c>
      <c r="F74" s="28">
        <f t="shared" ref="F74:K74" si="39">F48</f>
        <v>5555.5555555555557</v>
      </c>
      <c r="G74" s="28">
        <f t="shared" si="39"/>
        <v>10399.305555555555</v>
      </c>
      <c r="H74" s="28">
        <f t="shared" si="39"/>
        <v>10456.743055555555</v>
      </c>
      <c r="I74" s="28">
        <f t="shared" si="39"/>
        <v>11387.873263888889</v>
      </c>
      <c r="J74" s="28">
        <f t="shared" si="39"/>
        <v>11788.00529513889</v>
      </c>
      <c r="K74" s="28">
        <f t="shared" si="39"/>
        <v>11606.919727868053</v>
      </c>
      <c r="L74" s="29">
        <f t="shared" si="38"/>
        <v>61194.402453562492</v>
      </c>
    </row>
    <row r="75" spans="1:12">
      <c r="A75" s="14"/>
      <c r="B75" s="15" t="s">
        <v>131</v>
      </c>
      <c r="C75" s="16" t="s">
        <v>132</v>
      </c>
      <c r="D75" s="17" t="s">
        <v>19</v>
      </c>
      <c r="E75" s="18" t="s">
        <v>133</v>
      </c>
      <c r="F75" s="39">
        <v>0</v>
      </c>
      <c r="G75" s="39">
        <v>5000</v>
      </c>
      <c r="H75" s="39">
        <v>8000</v>
      </c>
      <c r="I75" s="39">
        <v>10000</v>
      </c>
      <c r="J75" s="39">
        <v>12000</v>
      </c>
      <c r="K75" s="39">
        <v>15000</v>
      </c>
      <c r="L75" s="29">
        <f t="shared" si="38"/>
        <v>50000</v>
      </c>
    </row>
    <row r="76" spans="1:12">
      <c r="A76" s="14"/>
      <c r="B76" s="15" t="s">
        <v>134</v>
      </c>
      <c r="C76" s="16" t="s">
        <v>135</v>
      </c>
      <c r="D76" s="17" t="s">
        <v>19</v>
      </c>
      <c r="E76" s="18" t="s">
        <v>133</v>
      </c>
      <c r="F76" s="39">
        <v>0</v>
      </c>
      <c r="G76" s="39">
        <v>5000</v>
      </c>
      <c r="H76" s="39">
        <v>8000</v>
      </c>
      <c r="I76" s="39">
        <v>10000</v>
      </c>
      <c r="J76" s="39">
        <v>12000</v>
      </c>
      <c r="K76" s="39">
        <v>15000</v>
      </c>
      <c r="L76" s="29">
        <f t="shared" si="38"/>
        <v>50000</v>
      </c>
    </row>
    <row r="77" spans="1:12">
      <c r="A77" s="14"/>
      <c r="B77" s="15" t="s">
        <v>136</v>
      </c>
      <c r="C77" s="16" t="s">
        <v>137</v>
      </c>
      <c r="D77" s="17" t="s">
        <v>19</v>
      </c>
      <c r="E77" s="18" t="s">
        <v>45</v>
      </c>
      <c r="F77" s="39">
        <v>1000</v>
      </c>
      <c r="G77" s="39">
        <v>1500</v>
      </c>
      <c r="H77" s="39">
        <v>2000</v>
      </c>
      <c r="I77" s="39">
        <v>2000</v>
      </c>
      <c r="J77" s="39">
        <v>2000</v>
      </c>
      <c r="K77" s="39">
        <v>2000</v>
      </c>
      <c r="L77" s="29">
        <f t="shared" si="38"/>
        <v>10500</v>
      </c>
    </row>
    <row r="78" spans="1:12">
      <c r="A78" s="14"/>
      <c r="B78" s="15" t="s">
        <v>138</v>
      </c>
      <c r="C78" s="16" t="s">
        <v>139</v>
      </c>
      <c r="D78" s="17" t="s">
        <v>19</v>
      </c>
      <c r="E78" s="18" t="s">
        <v>45</v>
      </c>
      <c r="F78" s="39">
        <v>5000</v>
      </c>
      <c r="G78" s="39">
        <v>3000</v>
      </c>
      <c r="H78" s="39">
        <v>2000</v>
      </c>
      <c r="I78" s="39">
        <v>5000</v>
      </c>
      <c r="J78" s="39">
        <v>3000</v>
      </c>
      <c r="K78" s="39">
        <v>2000</v>
      </c>
      <c r="L78" s="29">
        <f t="shared" si="38"/>
        <v>20000</v>
      </c>
    </row>
    <row r="79" spans="1:12">
      <c r="A79" s="14"/>
      <c r="B79" s="15" t="s">
        <v>140</v>
      </c>
      <c r="C79" s="16" t="s">
        <v>141</v>
      </c>
      <c r="D79" s="17" t="s">
        <v>19</v>
      </c>
      <c r="E79" s="18" t="s">
        <v>133</v>
      </c>
      <c r="F79" s="39">
        <v>0</v>
      </c>
      <c r="G79" s="39">
        <v>0</v>
      </c>
      <c r="H79" s="39">
        <v>2000</v>
      </c>
      <c r="I79" s="39">
        <v>3000</v>
      </c>
      <c r="J79" s="39">
        <v>3000</v>
      </c>
      <c r="K79" s="39">
        <v>3000</v>
      </c>
      <c r="L79" s="29">
        <f t="shared" si="38"/>
        <v>11000</v>
      </c>
    </row>
    <row r="80" spans="1:12">
      <c r="A80" s="14" t="s">
        <v>142</v>
      </c>
      <c r="B80" s="15" t="s">
        <v>143</v>
      </c>
      <c r="C80" s="16" t="s">
        <v>144</v>
      </c>
      <c r="D80" s="17" t="s">
        <v>19</v>
      </c>
      <c r="E80" s="18" t="s">
        <v>145</v>
      </c>
      <c r="F80" s="39">
        <v>2000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29">
        <f t="shared" si="38"/>
        <v>2000</v>
      </c>
    </row>
    <row r="81" spans="1:12">
      <c r="A81" s="14"/>
      <c r="B81" s="15" t="s">
        <v>146</v>
      </c>
      <c r="C81" s="16" t="s">
        <v>147</v>
      </c>
      <c r="D81" s="17" t="s">
        <v>19</v>
      </c>
      <c r="E81" s="18"/>
      <c r="F81" s="28">
        <f t="shared" ref="F81:K81" si="40">F72+F74</f>
        <v>21277.777777777777</v>
      </c>
      <c r="G81" s="28">
        <f t="shared" si="40"/>
        <v>28288.194444444442</v>
      </c>
      <c r="H81" s="28">
        <f t="shared" si="40"/>
        <v>30592.993055555555</v>
      </c>
      <c r="I81" s="28">
        <f t="shared" si="40"/>
        <v>25298.334374999999</v>
      </c>
      <c r="J81" s="28">
        <f t="shared" si="40"/>
        <v>27287.884239583334</v>
      </c>
      <c r="K81" s="28">
        <f t="shared" si="40"/>
        <v>28662.925520645833</v>
      </c>
      <c r="L81" s="29">
        <f t="shared" si="38"/>
        <v>161408.10941300695</v>
      </c>
    </row>
    <row r="82" spans="1:12">
      <c r="A82" s="14"/>
      <c r="B82" s="21"/>
      <c r="C82" s="16" t="s">
        <v>148</v>
      </c>
      <c r="D82" s="17" t="s">
        <v>19</v>
      </c>
      <c r="E82" s="18"/>
      <c r="F82" s="28">
        <f t="shared" ref="F82:K82" si="41">F58</f>
        <v>720</v>
      </c>
      <c r="G82" s="28">
        <f t="shared" si="41"/>
        <v>3750</v>
      </c>
      <c r="H82" s="28">
        <f t="shared" si="41"/>
        <v>13329.9</v>
      </c>
      <c r="I82" s="28">
        <f t="shared" si="41"/>
        <v>28800</v>
      </c>
      <c r="J82" s="28">
        <f t="shared" si="41"/>
        <v>46200</v>
      </c>
      <c r="K82" s="28">
        <f t="shared" si="41"/>
        <v>59400</v>
      </c>
      <c r="L82" s="29">
        <f t="shared" si="38"/>
        <v>152199.9</v>
      </c>
    </row>
    <row r="83" spans="1:12">
      <c r="A83" s="14"/>
      <c r="B83" s="21"/>
      <c r="C83" s="16" t="s">
        <v>149</v>
      </c>
      <c r="D83" s="17" t="s">
        <v>19</v>
      </c>
      <c r="E83" s="18"/>
      <c r="F83" s="28">
        <f t="shared" ref="F83:K83" si="42">F73+F75+F76+F77+F78+F79+F80</f>
        <v>8000</v>
      </c>
      <c r="G83" s="28">
        <f t="shared" si="42"/>
        <v>14500</v>
      </c>
      <c r="H83" s="28">
        <f t="shared" si="42"/>
        <v>27000</v>
      </c>
      <c r="I83" s="28">
        <f t="shared" si="42"/>
        <v>35000</v>
      </c>
      <c r="J83" s="28">
        <f t="shared" si="42"/>
        <v>37000</v>
      </c>
      <c r="K83" s="28">
        <f t="shared" si="42"/>
        <v>42000</v>
      </c>
      <c r="L83" s="29">
        <f t="shared" si="38"/>
        <v>163500</v>
      </c>
    </row>
    <row r="84" spans="1:12">
      <c r="A84" s="30"/>
      <c r="B84" s="31"/>
      <c r="C84" s="32" t="s">
        <v>150</v>
      </c>
      <c r="D84" s="33" t="s">
        <v>19</v>
      </c>
      <c r="E84" s="34"/>
      <c r="F84" s="35">
        <f t="shared" ref="F84:K84" si="43">F81+F82+F83</f>
        <v>29997.777777777777</v>
      </c>
      <c r="G84" s="35">
        <f t="shared" si="43"/>
        <v>46538.194444444438</v>
      </c>
      <c r="H84" s="35">
        <f t="shared" si="43"/>
        <v>70922.893055555556</v>
      </c>
      <c r="I84" s="35">
        <f t="shared" si="43"/>
        <v>89098.334375000006</v>
      </c>
      <c r="J84" s="35">
        <f t="shared" si="43"/>
        <v>110487.88423958333</v>
      </c>
      <c r="K84" s="35">
        <f t="shared" si="43"/>
        <v>130062.92552064583</v>
      </c>
      <c r="L84" s="36">
        <f t="shared" si="38"/>
        <v>477108.00941300695</v>
      </c>
    </row>
    <row r="85" spans="1:12">
      <c r="A85" s="14"/>
      <c r="B85" s="15" t="s">
        <v>151</v>
      </c>
      <c r="C85" s="16" t="s">
        <v>152</v>
      </c>
      <c r="D85" s="17" t="s">
        <v>19</v>
      </c>
      <c r="E85" s="18" t="s">
        <v>153</v>
      </c>
      <c r="F85" s="39">
        <v>17387</v>
      </c>
      <c r="G85" s="39">
        <v>25000</v>
      </c>
      <c r="H85" s="39">
        <v>39441</v>
      </c>
      <c r="I85" s="39">
        <v>55000</v>
      </c>
      <c r="J85" s="39">
        <v>65000</v>
      </c>
      <c r="K85" s="39">
        <v>73322</v>
      </c>
      <c r="L85" s="29">
        <f t="shared" si="38"/>
        <v>275150</v>
      </c>
    </row>
    <row r="86" spans="1:12">
      <c r="A86" s="14"/>
      <c r="B86" s="21"/>
      <c r="C86" s="16" t="s">
        <v>154</v>
      </c>
      <c r="D86" s="17" t="s">
        <v>19</v>
      </c>
      <c r="E86" s="18"/>
      <c r="F86" s="28">
        <f t="shared" ref="F86:K86" si="44">F85-F84</f>
        <v>-12610.777777777777</v>
      </c>
      <c r="G86" s="28">
        <f t="shared" si="44"/>
        <v>-21538.194444444438</v>
      </c>
      <c r="H86" s="28">
        <f t="shared" si="44"/>
        <v>-31481.893055555556</v>
      </c>
      <c r="I86" s="28">
        <f t="shared" si="44"/>
        <v>-34098.334375000006</v>
      </c>
      <c r="J86" s="28">
        <f t="shared" si="44"/>
        <v>-45487.884239583334</v>
      </c>
      <c r="K86" s="28">
        <f t="shared" si="44"/>
        <v>-56740.925520645833</v>
      </c>
      <c r="L86" s="29">
        <f t="shared" si="38"/>
        <v>-201958.00941300695</v>
      </c>
    </row>
    <row r="87" spans="1:12" ht="27.75" hidden="1" customHeight="1">
      <c r="A87" s="86" t="s">
        <v>155</v>
      </c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</row>
    <row r="88" spans="1:12" hidden="1">
      <c r="A88" s="14" t="s">
        <v>31</v>
      </c>
      <c r="B88" s="15" t="s">
        <v>32</v>
      </c>
      <c r="C88" s="16" t="s">
        <v>156</v>
      </c>
      <c r="D88" s="17" t="s">
        <v>16</v>
      </c>
      <c r="E88" s="18"/>
      <c r="F88" s="19">
        <v>10</v>
      </c>
      <c r="G88" s="19">
        <v>12</v>
      </c>
      <c r="H88" s="19">
        <v>15</v>
      </c>
      <c r="I88" s="19">
        <v>18</v>
      </c>
      <c r="J88" s="19">
        <v>20</v>
      </c>
      <c r="K88" s="19">
        <v>20</v>
      </c>
      <c r="L88" s="20"/>
    </row>
    <row r="89" spans="1:12" hidden="1">
      <c r="A89" s="14"/>
      <c r="B89" s="21"/>
      <c r="C89" s="16" t="s">
        <v>157</v>
      </c>
      <c r="D89" s="17" t="s">
        <v>16</v>
      </c>
      <c r="E89" s="18"/>
      <c r="F89" s="19">
        <v>1</v>
      </c>
      <c r="G89" s="19">
        <v>1</v>
      </c>
      <c r="H89" s="19">
        <v>2</v>
      </c>
      <c r="I89" s="19">
        <v>2</v>
      </c>
      <c r="J89" s="19">
        <v>3</v>
      </c>
      <c r="K89" s="19">
        <v>3</v>
      </c>
      <c r="L89" s="20"/>
    </row>
    <row r="90" spans="1:12" hidden="1">
      <c r="A90" s="14"/>
      <c r="B90" s="21"/>
      <c r="C90" s="16" t="s">
        <v>158</v>
      </c>
      <c r="D90" s="17" t="s">
        <v>16</v>
      </c>
      <c r="E90" s="18"/>
      <c r="F90" s="19">
        <v>0</v>
      </c>
      <c r="G90" s="19">
        <v>1</v>
      </c>
      <c r="H90" s="19">
        <v>1</v>
      </c>
      <c r="I90" s="19">
        <v>1</v>
      </c>
      <c r="J90" s="19">
        <v>2</v>
      </c>
      <c r="K90" s="19">
        <v>2</v>
      </c>
      <c r="L90" s="20"/>
    </row>
    <row r="91" spans="1:12" hidden="1">
      <c r="A91" s="14"/>
      <c r="B91" s="21"/>
      <c r="C91" s="16" t="s">
        <v>159</v>
      </c>
      <c r="D91" s="17" t="s">
        <v>19</v>
      </c>
      <c r="E91" s="18"/>
      <c r="F91" s="70">
        <v>0.15</v>
      </c>
      <c r="G91" s="70">
        <v>0.15</v>
      </c>
      <c r="H91" s="70">
        <v>0.18</v>
      </c>
      <c r="I91" s="70">
        <v>0.18</v>
      </c>
      <c r="J91" s="70">
        <v>0.2</v>
      </c>
      <c r="K91" s="70">
        <v>0.2</v>
      </c>
      <c r="L91" s="40"/>
    </row>
    <row r="92" spans="1:12" hidden="1">
      <c r="A92" s="14"/>
      <c r="B92" s="21"/>
      <c r="C92" s="16" t="s">
        <v>160</v>
      </c>
      <c r="D92" s="17" t="s">
        <v>19</v>
      </c>
      <c r="E92" s="18"/>
      <c r="F92" s="70">
        <v>0.3</v>
      </c>
      <c r="G92" s="70">
        <v>0.3</v>
      </c>
      <c r="H92" s="70">
        <v>0.35</v>
      </c>
      <c r="I92" s="70">
        <v>0.35</v>
      </c>
      <c r="J92" s="70">
        <v>0.4</v>
      </c>
      <c r="K92" s="70">
        <v>0.4</v>
      </c>
      <c r="L92" s="40"/>
    </row>
    <row r="93" spans="1:12" hidden="1">
      <c r="A93" s="14"/>
      <c r="B93" s="21"/>
      <c r="C93" s="16" t="s">
        <v>161</v>
      </c>
      <c r="D93" s="17" t="s">
        <v>19</v>
      </c>
      <c r="E93" s="18"/>
      <c r="F93" s="70">
        <v>1.5</v>
      </c>
      <c r="G93" s="70">
        <v>1.5</v>
      </c>
      <c r="H93" s="70">
        <v>1.8</v>
      </c>
      <c r="I93" s="70">
        <v>1.8</v>
      </c>
      <c r="J93" s="70">
        <v>2</v>
      </c>
      <c r="K93" s="70">
        <v>2</v>
      </c>
      <c r="L93" s="40"/>
    </row>
    <row r="94" spans="1:12" hidden="1">
      <c r="A94" s="14"/>
      <c r="B94" s="21"/>
      <c r="C94" s="16" t="s">
        <v>162</v>
      </c>
      <c r="D94" s="17" t="s">
        <v>29</v>
      </c>
      <c r="E94" s="18"/>
      <c r="F94" s="37">
        <v>0.5</v>
      </c>
      <c r="G94" s="37">
        <v>0.55000000000000004</v>
      </c>
      <c r="H94" s="37">
        <v>0.6</v>
      </c>
      <c r="I94" s="37">
        <v>0.65</v>
      </c>
      <c r="J94" s="37">
        <v>0.7</v>
      </c>
      <c r="K94" s="37">
        <v>0.7</v>
      </c>
      <c r="L94" s="38"/>
    </row>
    <row r="95" spans="1:12" hidden="1">
      <c r="A95" s="14"/>
      <c r="B95" s="21"/>
      <c r="C95" s="16" t="s">
        <v>163</v>
      </c>
      <c r="D95" s="17" t="s">
        <v>19</v>
      </c>
      <c r="E95" s="18"/>
      <c r="F95" s="28">
        <f>ROUND(F54*(F88*F91+F89*F92+F90*F93)/1000*F94*30,0)</f>
        <v>49</v>
      </c>
      <c r="G95" s="28">
        <f>ROUND(G54*(G88*G91+G89*G92+G90*G93)/1000*G94*30,0)</f>
        <v>238</v>
      </c>
      <c r="H95" s="28">
        <f>ROUND(H54*(H88*H91+H89*H92+H90*H93)/1000*H94*30,0)</f>
        <v>786</v>
      </c>
      <c r="I95" s="28">
        <f>ROUND(I54*(I88*I91+I89*I92+I90*I93)/1000*I94*30,0)</f>
        <v>2418</v>
      </c>
      <c r="J95" s="28">
        <f>ROUND(J54*(J88*J91+J89*J92+J90*J93)/1000*J94*30,0)</f>
        <v>8076</v>
      </c>
      <c r="K95" s="28">
        <f>ROUND(K54*(K88*K91+K89*K92+K90*K93)/1000*K94*30,0)</f>
        <v>12751</v>
      </c>
      <c r="L95" s="29">
        <f>SUM(F95:K95)</f>
        <v>24318</v>
      </c>
    </row>
    <row r="96" spans="1:12" hidden="1">
      <c r="A96" s="14"/>
      <c r="B96" s="15" t="s">
        <v>164</v>
      </c>
      <c r="C96" s="16" t="s">
        <v>165</v>
      </c>
      <c r="D96" s="17" t="s">
        <v>16</v>
      </c>
      <c r="E96" s="18" t="s">
        <v>133</v>
      </c>
      <c r="F96" s="19">
        <v>0</v>
      </c>
      <c r="G96" s="19">
        <v>0</v>
      </c>
      <c r="H96" s="19">
        <v>1</v>
      </c>
      <c r="I96" s="19">
        <v>2</v>
      </c>
      <c r="J96" s="19">
        <v>3</v>
      </c>
      <c r="K96" s="19">
        <v>5</v>
      </c>
      <c r="L96" s="20"/>
    </row>
    <row r="97" spans="1:12" hidden="1">
      <c r="A97" s="14"/>
      <c r="B97" s="21"/>
      <c r="C97" s="16" t="s">
        <v>166</v>
      </c>
      <c r="D97" s="17" t="s">
        <v>19</v>
      </c>
      <c r="E97" s="18"/>
      <c r="F97" s="39">
        <v>0</v>
      </c>
      <c r="G97" s="39">
        <v>0</v>
      </c>
      <c r="H97" s="39">
        <v>5000</v>
      </c>
      <c r="I97" s="39">
        <v>5000</v>
      </c>
      <c r="J97" s="39">
        <v>5000</v>
      </c>
      <c r="K97" s="39">
        <v>5000</v>
      </c>
      <c r="L97" s="40"/>
    </row>
    <row r="98" spans="1:12" hidden="1">
      <c r="A98" s="14"/>
      <c r="B98" s="21"/>
      <c r="C98" s="16" t="s">
        <v>167</v>
      </c>
      <c r="D98" s="17" t="s">
        <v>19</v>
      </c>
      <c r="E98" s="18"/>
      <c r="F98" s="28">
        <f t="shared" ref="F98:K98" si="45">F96*F97</f>
        <v>0</v>
      </c>
      <c r="G98" s="28">
        <f t="shared" si="45"/>
        <v>0</v>
      </c>
      <c r="H98" s="28">
        <f t="shared" si="45"/>
        <v>5000</v>
      </c>
      <c r="I98" s="28">
        <f t="shared" si="45"/>
        <v>10000</v>
      </c>
      <c r="J98" s="28">
        <f t="shared" si="45"/>
        <v>15000</v>
      </c>
      <c r="K98" s="28">
        <f t="shared" si="45"/>
        <v>25000</v>
      </c>
      <c r="L98" s="29">
        <f>SUM(F98:K98)</f>
        <v>55000</v>
      </c>
    </row>
    <row r="99" spans="1:12" hidden="1">
      <c r="A99" s="14"/>
      <c r="B99" s="15" t="s">
        <v>168</v>
      </c>
      <c r="C99" s="16" t="s">
        <v>169</v>
      </c>
      <c r="D99" s="17" t="s">
        <v>19</v>
      </c>
      <c r="E99" s="18" t="s">
        <v>133</v>
      </c>
      <c r="F99" s="39">
        <v>0</v>
      </c>
      <c r="G99" s="39">
        <v>0</v>
      </c>
      <c r="H99" s="39">
        <v>0</v>
      </c>
      <c r="I99" s="39">
        <v>0</v>
      </c>
      <c r="J99" s="39">
        <v>500</v>
      </c>
      <c r="K99" s="39">
        <v>2000</v>
      </c>
      <c r="L99" s="29">
        <f>SUM(F99:K99)</f>
        <v>2500</v>
      </c>
    </row>
    <row r="100" spans="1:12" hidden="1">
      <c r="A100" s="42"/>
      <c r="B100" s="43"/>
      <c r="C100" s="44" t="s">
        <v>170</v>
      </c>
      <c r="D100" s="45" t="s">
        <v>19</v>
      </c>
      <c r="E100" s="46"/>
      <c r="F100" s="47">
        <f t="shared" ref="F100:K100" si="46">F95+F98+F99</f>
        <v>49</v>
      </c>
      <c r="G100" s="47">
        <f t="shared" si="46"/>
        <v>238</v>
      </c>
      <c r="H100" s="47">
        <f t="shared" si="46"/>
        <v>5786</v>
      </c>
      <c r="I100" s="47">
        <f t="shared" si="46"/>
        <v>12418</v>
      </c>
      <c r="J100" s="47">
        <f t="shared" si="46"/>
        <v>23576</v>
      </c>
      <c r="K100" s="47">
        <f t="shared" si="46"/>
        <v>39751</v>
      </c>
      <c r="L100" s="48">
        <f>SUM(F100:K100)</f>
        <v>81818</v>
      </c>
    </row>
    <row r="101" spans="1:12" ht="27.75" customHeight="1">
      <c r="A101" s="87" t="s">
        <v>171</v>
      </c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2">
      <c r="A102" s="14" t="s">
        <v>172</v>
      </c>
      <c r="B102" s="15" t="s">
        <v>173</v>
      </c>
      <c r="C102" s="16" t="s">
        <v>174</v>
      </c>
      <c r="D102" s="17" t="s">
        <v>19</v>
      </c>
      <c r="E102" s="18"/>
      <c r="F102" s="71">
        <f>IF(F52=0,"-",F84/F52)</f>
        <v>2.4998148148148149</v>
      </c>
      <c r="G102" s="71">
        <f>IF(G52=0,"-",G84/G52)</f>
        <v>1.8615277777777774</v>
      </c>
      <c r="H102" s="71">
        <f>IF(H52=0,"-",H84/H52)</f>
        <v>1.4365294009753815</v>
      </c>
      <c r="I102" s="71">
        <f>IF(I52=0,"-",I84/I52)</f>
        <v>0.74248611979166668</v>
      </c>
      <c r="J102" s="71">
        <f>IF(J52=0,"-",J84/J52)</f>
        <v>0.50221765563446974</v>
      </c>
      <c r="K102" s="71">
        <f>IF(K52=0,"-",K84/K52)</f>
        <v>0.39413007733529043</v>
      </c>
      <c r="L102" s="40"/>
    </row>
    <row r="103" spans="1:12">
      <c r="A103" s="14"/>
      <c r="B103" s="21"/>
      <c r="C103" s="16" t="s">
        <v>175</v>
      </c>
      <c r="D103" s="17" t="s">
        <v>19</v>
      </c>
      <c r="E103" s="18"/>
      <c r="F103" s="71">
        <f>IF(F25=0,"-",F81/F25)</f>
        <v>85.111111111111114</v>
      </c>
      <c r="G103" s="71">
        <f>IF(G25=0,"-",G81/G25)</f>
        <v>105.75025960539978</v>
      </c>
      <c r="H103" s="71">
        <f>IF(H25=0,"-",H81/H25)</f>
        <v>108.2075976852261</v>
      </c>
      <c r="I103" s="71">
        <f>IF(I25=0,"-",I81/I25)</f>
        <v>85.475792371374524</v>
      </c>
      <c r="J103" s="71">
        <f>IF(J25=0,"-",J81/J25)</f>
        <v>88.742659073881754</v>
      </c>
      <c r="K103" s="71">
        <f>IF(K25=0,"-",K81/K25)</f>
        <v>90.27117028599308</v>
      </c>
      <c r="L103" s="40"/>
    </row>
    <row r="104" spans="1:12">
      <c r="A104" s="14"/>
      <c r="B104" s="21"/>
      <c r="C104" s="16" t="s">
        <v>176</v>
      </c>
      <c r="D104" s="17" t="s">
        <v>19</v>
      </c>
      <c r="E104" s="18"/>
      <c r="F104" s="71">
        <f>IF(F56=0,"-",F82/F56)</f>
        <v>0.2</v>
      </c>
      <c r="G104" s="71">
        <f>IF(G56=0,"-",G82/G56)</f>
        <v>0.5</v>
      </c>
      <c r="H104" s="71">
        <f>IF(H56=0,"-",H82/H56)</f>
        <v>0.9</v>
      </c>
      <c r="I104" s="71">
        <f>IF(I56=0,"-",I82/I56)</f>
        <v>0.8</v>
      </c>
      <c r="J104" s="71">
        <f>IF(J56=0,"-",J82/J56)</f>
        <v>0.7</v>
      </c>
      <c r="K104" s="71">
        <f>IF(K56=0,"-",K82/K56)</f>
        <v>0.6</v>
      </c>
      <c r="L104" s="40"/>
    </row>
    <row r="105" spans="1:12">
      <c r="A105" s="14"/>
      <c r="B105" s="15" t="s">
        <v>177</v>
      </c>
      <c r="C105" s="16" t="s">
        <v>178</v>
      </c>
      <c r="D105" s="17" t="s">
        <v>38</v>
      </c>
      <c r="E105" s="18"/>
      <c r="F105" s="49">
        <f t="shared" ref="F105:K105" si="47">IF(F84=0,"-",F100/F84)</f>
        <v>1.6334543299503666E-3</v>
      </c>
      <c r="G105" s="49">
        <f t="shared" si="47"/>
        <v>5.1140789375512955E-3</v>
      </c>
      <c r="H105" s="49">
        <f t="shared" si="47"/>
        <v>8.1581556401932043E-2</v>
      </c>
      <c r="I105" s="49">
        <f t="shared" si="47"/>
        <v>0.13937409814794868</v>
      </c>
      <c r="J105" s="49">
        <f t="shared" si="47"/>
        <v>0.21338086218464913</v>
      </c>
      <c r="K105" s="49">
        <f t="shared" si="47"/>
        <v>0.30562898566886409</v>
      </c>
      <c r="L105" s="50"/>
    </row>
    <row r="106" spans="1:12">
      <c r="A106" s="14"/>
      <c r="B106" s="21"/>
      <c r="C106" s="16" t="s">
        <v>179</v>
      </c>
      <c r="D106" s="17" t="s">
        <v>19</v>
      </c>
      <c r="E106" s="18"/>
      <c r="F106" s="71">
        <f>IF(F52=0,"-",F100/F52)</f>
        <v>4.0833333333333329E-3</v>
      </c>
      <c r="G106" s="71">
        <f>IF(G52=0,"-",G100/G52)</f>
        <v>9.5200000000000007E-3</v>
      </c>
      <c r="H106" s="71">
        <f>IF(H52=0,"-",H100/H52)</f>
        <v>0.11719430434870673</v>
      </c>
      <c r="I106" s="71">
        <f>IF(I52=0,"-",I100/I52)</f>
        <v>0.10348333333333333</v>
      </c>
      <c r="J106" s="71">
        <f>IF(J52=0,"-",J100/J52)</f>
        <v>0.10716363636363636</v>
      </c>
      <c r="K106" s="71">
        <f>IF(K52=0,"-",K100/K52)</f>
        <v>0.12045757575757576</v>
      </c>
      <c r="L106" s="40"/>
    </row>
    <row r="107" spans="1:12">
      <c r="A107" s="14"/>
      <c r="B107" s="21"/>
      <c r="C107" s="16" t="s">
        <v>180</v>
      </c>
      <c r="D107" s="17" t="s">
        <v>19</v>
      </c>
      <c r="E107" s="18"/>
      <c r="F107" s="71">
        <f>IF(F30=0,"-",F84/F30)</f>
        <v>11.999111111111111</v>
      </c>
      <c r="G107" s="71">
        <f>IF(G30=0,"-",G84/G30)</f>
        <v>14.497879889235028</v>
      </c>
      <c r="H107" s="71">
        <f>IF(H30=0,"-",H84/H30)</f>
        <v>16.723646194607376</v>
      </c>
      <c r="I107" s="71">
        <f>IF(I30=0,"-",I84/I30)</f>
        <v>24.738205853763095</v>
      </c>
      <c r="J107" s="71">
        <f>IF(J30=0,"-",J84/J30)</f>
        <v>35.35673929534606</v>
      </c>
      <c r="K107" s="71">
        <f>IF(K30=0,"-",K84/K30)</f>
        <v>40.327055809901125</v>
      </c>
      <c r="L107" s="40"/>
    </row>
    <row r="108" spans="1:12">
      <c r="A108" s="14"/>
      <c r="B108" s="21"/>
      <c r="C108" s="16" t="s">
        <v>181</v>
      </c>
      <c r="D108" s="17" t="s">
        <v>19</v>
      </c>
      <c r="E108" s="18"/>
      <c r="F108" s="71">
        <f>IF(F30=0,"-",F100/F30)</f>
        <v>1.9599999999999999E-2</v>
      </c>
      <c r="G108" s="71">
        <f>IF(G30=0,"-",G100/G30)</f>
        <v>7.4143302180685364E-2</v>
      </c>
      <c r="H108" s="71">
        <f>IF(H30=0,"-",H100/H30)</f>
        <v>1.3643410852713178</v>
      </c>
      <c r="I108" s="71">
        <f>IF(I30=0,"-",I100/I30)</f>
        <v>3.447865130666536</v>
      </c>
      <c r="J108" s="71">
        <f>IF(J30=0,"-",J100/J30)</f>
        <v>7.5444515148788067</v>
      </c>
      <c r="K108" s="71">
        <f>IF(K30=0,"-",K100/K30)</f>
        <v>12.325117162191754</v>
      </c>
      <c r="L108" s="40"/>
    </row>
    <row r="109" spans="1:12">
      <c r="A109" s="14"/>
      <c r="B109" s="15" t="s">
        <v>182</v>
      </c>
      <c r="C109" s="16" t="s">
        <v>183</v>
      </c>
      <c r="D109" s="17" t="s">
        <v>29</v>
      </c>
      <c r="E109" s="18" t="s">
        <v>184</v>
      </c>
      <c r="F109" s="37">
        <v>0</v>
      </c>
      <c r="G109" s="37">
        <v>0.6</v>
      </c>
      <c r="H109" s="37">
        <v>0.65</v>
      </c>
      <c r="I109" s="37">
        <v>0.7</v>
      </c>
      <c r="J109" s="37">
        <v>0.75</v>
      </c>
      <c r="K109" s="37">
        <v>0.8</v>
      </c>
      <c r="L109" s="38"/>
    </row>
    <row r="110" spans="1:12">
      <c r="A110" s="14"/>
      <c r="B110" s="21"/>
      <c r="C110" s="16" t="s">
        <v>185</v>
      </c>
      <c r="D110" s="17" t="s">
        <v>16</v>
      </c>
      <c r="E110" s="18" t="s">
        <v>184</v>
      </c>
      <c r="F110" s="19">
        <v>0</v>
      </c>
      <c r="G110" s="19">
        <v>40</v>
      </c>
      <c r="H110" s="19">
        <v>45</v>
      </c>
      <c r="I110" s="19">
        <v>50</v>
      </c>
      <c r="J110" s="19">
        <v>55</v>
      </c>
      <c r="K110" s="19">
        <v>60</v>
      </c>
      <c r="L110" s="20"/>
    </row>
    <row r="111" spans="1:12">
      <c r="A111" s="14"/>
      <c r="B111" s="21"/>
      <c r="C111" s="16" t="s">
        <v>186</v>
      </c>
      <c r="D111" s="17" t="s">
        <v>29</v>
      </c>
      <c r="E111" s="18" t="s">
        <v>184</v>
      </c>
      <c r="F111" s="37">
        <v>0.9</v>
      </c>
      <c r="G111" s="37">
        <v>0.92</v>
      </c>
      <c r="H111" s="37">
        <v>0.95</v>
      </c>
      <c r="I111" s="37">
        <v>0.95</v>
      </c>
      <c r="J111" s="37">
        <v>0.95</v>
      </c>
      <c r="K111" s="37">
        <v>0.95</v>
      </c>
      <c r="L111" s="38"/>
    </row>
    <row r="112" spans="1:12">
      <c r="A112" s="14"/>
      <c r="B112" s="15" t="s">
        <v>187</v>
      </c>
      <c r="C112" s="16" t="s">
        <v>188</v>
      </c>
      <c r="D112" s="17" t="s">
        <v>19</v>
      </c>
      <c r="E112" s="18"/>
      <c r="F112" s="28">
        <f t="shared" ref="F112:K112" si="48">F100-F84</f>
        <v>-29948.777777777777</v>
      </c>
      <c r="G112" s="28">
        <f t="shared" si="48"/>
        <v>-46300.194444444438</v>
      </c>
      <c r="H112" s="28">
        <f t="shared" si="48"/>
        <v>-65136.893055555556</v>
      </c>
      <c r="I112" s="28">
        <f t="shared" si="48"/>
        <v>-76680.334375000006</v>
      </c>
      <c r="J112" s="28">
        <f t="shared" si="48"/>
        <v>-86911.884239583334</v>
      </c>
      <c r="K112" s="28">
        <f t="shared" si="48"/>
        <v>-90311.925520645833</v>
      </c>
      <c r="L112" s="29">
        <f>SUM(F112:K112)</f>
        <v>-395290.00941300695</v>
      </c>
    </row>
    <row r="113" spans="1:12">
      <c r="A113" s="14"/>
      <c r="B113" s="21"/>
      <c r="C113" s="16" t="s">
        <v>189</v>
      </c>
      <c r="D113" s="17" t="s">
        <v>29</v>
      </c>
      <c r="E113" s="18"/>
      <c r="F113" s="41">
        <f t="shared" ref="F113:K113" si="49">IF(F100=0,"-",F112/F100)</f>
        <v>-611.19954648526073</v>
      </c>
      <c r="G113" s="41">
        <f t="shared" si="49"/>
        <v>-194.53863211951443</v>
      </c>
      <c r="H113" s="41">
        <f t="shared" si="49"/>
        <v>-11.257672494911088</v>
      </c>
      <c r="I113" s="41">
        <f t="shared" si="49"/>
        <v>-6.1749343191335164</v>
      </c>
      <c r="J113" s="41">
        <f t="shared" si="49"/>
        <v>-3.6864558975052315</v>
      </c>
      <c r="K113" s="41">
        <f t="shared" si="49"/>
        <v>-2.2719409705578686</v>
      </c>
      <c r="L113" s="38"/>
    </row>
    <row r="114" spans="1:12">
      <c r="A114" s="14"/>
      <c r="B114" s="15" t="s">
        <v>190</v>
      </c>
      <c r="C114" s="16" t="s">
        <v>191</v>
      </c>
      <c r="D114" s="17" t="s">
        <v>29</v>
      </c>
      <c r="E114" s="18" t="s">
        <v>192</v>
      </c>
      <c r="F114" s="37">
        <v>0</v>
      </c>
      <c r="G114" s="37">
        <v>0</v>
      </c>
      <c r="H114" s="37">
        <v>0</v>
      </c>
      <c r="I114" s="37">
        <v>0.1</v>
      </c>
      <c r="J114" s="37">
        <v>0.12</v>
      </c>
      <c r="K114" s="37">
        <v>0.15</v>
      </c>
      <c r="L114" s="38"/>
    </row>
    <row r="115" spans="1:12">
      <c r="A115" s="14"/>
      <c r="B115" s="21"/>
      <c r="C115" s="16" t="s">
        <v>193</v>
      </c>
      <c r="D115" s="17" t="s">
        <v>54</v>
      </c>
      <c r="E115" s="18"/>
      <c r="F115" s="26">
        <f>IF(F25=0,"-",F100*F114/F25*$B$3)</f>
        <v>0</v>
      </c>
      <c r="G115" s="26">
        <f>IF(G25=0,"-",G100*G114/G25*$B$3)</f>
        <v>0</v>
      </c>
      <c r="H115" s="26">
        <f>IF(H25=0,"-",H100*H114/H25*$B$3)</f>
        <v>0</v>
      </c>
      <c r="I115" s="26">
        <f>IF(I25=0,"-",I100*I114/I25*$B$3)</f>
        <v>377.6116389879744</v>
      </c>
      <c r="J115" s="26">
        <f>IF(J25=0,"-",J100*J114/J25*$B$3)</f>
        <v>828.04979122353711</v>
      </c>
      <c r="K115" s="26">
        <f>IF(K25=0,"-",K100*K114/K25*$B$3)</f>
        <v>1690.0921498967905</v>
      </c>
      <c r="L115" s="25"/>
    </row>
    <row r="117" spans="1:12">
      <c r="A117" s="88" t="s">
        <v>194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</row>
    <row r="118" spans="1:12">
      <c r="A118" s="89" t="s">
        <v>195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</row>
    <row r="119" spans="1:12">
      <c r="A119" s="89" t="s">
        <v>196</v>
      </c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</row>
    <row r="120" spans="1:12">
      <c r="A120" s="89" t="s">
        <v>197</v>
      </c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</row>
    <row r="121" spans="1:12">
      <c r="A121" s="89" t="s">
        <v>198</v>
      </c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</row>
    <row r="122" spans="1:12">
      <c r="A122" s="89" t="s">
        <v>199</v>
      </c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</row>
    <row r="123" spans="1:12">
      <c r="A123" s="89" t="s">
        <v>200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</row>
    <row r="124" spans="1:12">
      <c r="A124" s="89" t="s">
        <v>201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</row>
    <row r="125" spans="1:12">
      <c r="A125" s="89" t="s">
        <v>202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</row>
    <row r="126" spans="1:12">
      <c r="A126" s="89" t="s">
        <v>203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</row>
    <row r="127" spans="1:12">
      <c r="A127" s="89" t="s">
        <v>204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</row>
  </sheetData>
  <mergeCells count="20">
    <mergeCell ref="A1:L1"/>
    <mergeCell ref="A2:L2"/>
    <mergeCell ref="A4:L4"/>
    <mergeCell ref="A24:L24"/>
    <mergeCell ref="A51:L51"/>
    <mergeCell ref="A60:L60"/>
    <mergeCell ref="A71:L71"/>
    <mergeCell ref="A87:L87"/>
    <mergeCell ref="A101:L101"/>
    <mergeCell ref="A117:L117"/>
    <mergeCell ref="A118:L118"/>
    <mergeCell ref="A119:L119"/>
    <mergeCell ref="A120:L120"/>
    <mergeCell ref="A121:L121"/>
    <mergeCell ref="A122:L122"/>
    <mergeCell ref="A123:L123"/>
    <mergeCell ref="A124:L124"/>
    <mergeCell ref="A125:L125"/>
    <mergeCell ref="A126:L126"/>
    <mergeCell ref="A127:L127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356E-6156-45FC-846C-E8BF38E70F5A}">
  <dimension ref="A1:V126"/>
  <sheetViews>
    <sheetView topLeftCell="A5" zoomScaleNormal="100" workbookViewId="0">
      <pane xSplit="5" topLeftCell="F1" activePane="topRight" state="frozen"/>
      <selection pane="topRight" activeCell="F20" sqref="F20:L20"/>
      <selection activeCell="A24" sqref="A24"/>
    </sheetView>
  </sheetViews>
  <sheetFormatPr defaultColWidth="8.5703125" defaultRowHeight="14.45"/>
  <cols>
    <col min="1" max="1" width="14" customWidth="1"/>
    <col min="2" max="2" width="22" customWidth="1"/>
    <col min="3" max="3" width="36" customWidth="1"/>
    <col min="4" max="4" width="8" customWidth="1"/>
    <col min="5" max="5" width="12" customWidth="1"/>
    <col min="6" max="12" width="14" customWidth="1"/>
    <col min="16" max="16" width="9.7109375" bestFit="1" customWidth="1"/>
  </cols>
  <sheetData>
    <row r="1" spans="1:12" ht="43.5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21.75" customHeight="1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2" t="s">
        <v>2</v>
      </c>
      <c r="B3" s="3">
        <v>90</v>
      </c>
      <c r="C3" s="1" t="s">
        <v>3</v>
      </c>
    </row>
    <row r="4" spans="1:12" ht="30" customHeight="1">
      <c r="A4" s="81" t="s">
        <v>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21.75" customHeight="1">
      <c r="A5" s="4"/>
      <c r="B5" s="4"/>
      <c r="C5" s="4" t="s">
        <v>5</v>
      </c>
      <c r="D5" s="4" t="s">
        <v>6</v>
      </c>
      <c r="E5" s="4"/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</row>
    <row r="6" spans="1:12" ht="21.75" customHeight="1">
      <c r="A6" s="5"/>
      <c r="B6" s="6" t="s">
        <v>14</v>
      </c>
      <c r="C6" s="7" t="s">
        <v>15</v>
      </c>
      <c r="D6" s="8" t="s">
        <v>16</v>
      </c>
      <c r="E6" s="5"/>
      <c r="F6" s="9">
        <f t="shared" ref="F6:K6" si="0">F25</f>
        <v>250</v>
      </c>
      <c r="G6" s="9">
        <f t="shared" si="0"/>
        <v>300</v>
      </c>
      <c r="H6" s="9">
        <f t="shared" si="0"/>
        <v>350</v>
      </c>
      <c r="I6" s="9">
        <f t="shared" si="0"/>
        <v>400</v>
      </c>
      <c r="J6" s="9">
        <f t="shared" si="0"/>
        <v>450</v>
      </c>
      <c r="K6" s="9">
        <f t="shared" si="0"/>
        <v>500</v>
      </c>
      <c r="L6" s="9">
        <f t="shared" ref="L6:L14" si="1">SUM(F6:K6)</f>
        <v>2250</v>
      </c>
    </row>
    <row r="7" spans="1:12" ht="21.75" customHeight="1">
      <c r="A7" s="5"/>
      <c r="B7" s="6"/>
      <c r="C7" s="7" t="s">
        <v>17</v>
      </c>
      <c r="D7" s="8" t="s">
        <v>16</v>
      </c>
      <c r="E7" s="5"/>
      <c r="F7" s="9">
        <f t="shared" ref="F7:K7" si="2">F29</f>
        <v>2500</v>
      </c>
      <c r="G7" s="9">
        <f t="shared" si="2"/>
        <v>3600</v>
      </c>
      <c r="H7" s="9">
        <f t="shared" si="2"/>
        <v>5250</v>
      </c>
      <c r="I7" s="9">
        <f t="shared" si="2"/>
        <v>4850</v>
      </c>
      <c r="J7" s="9">
        <f t="shared" si="2"/>
        <v>4550</v>
      </c>
      <c r="K7" s="9">
        <f t="shared" si="2"/>
        <v>5050</v>
      </c>
      <c r="L7" s="9">
        <f t="shared" si="1"/>
        <v>25800</v>
      </c>
    </row>
    <row r="8" spans="1:12" ht="21.75" customHeight="1">
      <c r="A8" s="5"/>
      <c r="B8" s="6"/>
      <c r="C8" s="7" t="s">
        <v>18</v>
      </c>
      <c r="D8" s="8" t="s">
        <v>19</v>
      </c>
      <c r="E8" s="5"/>
      <c r="F8" s="10">
        <f t="shared" ref="F8:K8" si="3">F37</f>
        <v>15722.222222222223</v>
      </c>
      <c r="G8" s="10">
        <f t="shared" si="3"/>
        <v>19333.333333333332</v>
      </c>
      <c r="H8" s="10">
        <f t="shared" si="3"/>
        <v>23500</v>
      </c>
      <c r="I8" s="10">
        <f t="shared" si="3"/>
        <v>16222.222222222223</v>
      </c>
      <c r="J8" s="10">
        <f t="shared" si="3"/>
        <v>18666.666666666664</v>
      </c>
      <c r="K8" s="10">
        <f t="shared" si="3"/>
        <v>21111.111111111109</v>
      </c>
      <c r="L8" s="10">
        <f t="shared" si="1"/>
        <v>114555.55555555555</v>
      </c>
    </row>
    <row r="9" spans="1:12" ht="21.75" customHeight="1">
      <c r="A9" s="5"/>
      <c r="B9" s="6"/>
      <c r="C9" s="7" t="s">
        <v>20</v>
      </c>
      <c r="D9" s="8" t="s">
        <v>19</v>
      </c>
      <c r="E9" s="5"/>
      <c r="F9" s="10">
        <f t="shared" ref="F9:K9" si="4">F47</f>
        <v>5555.5555555555557</v>
      </c>
      <c r="G9" s="10">
        <f t="shared" si="4"/>
        <v>11527.777777777777</v>
      </c>
      <c r="H9" s="10">
        <f t="shared" si="4"/>
        <v>12680.555555555555</v>
      </c>
      <c r="I9" s="10">
        <f t="shared" si="4"/>
        <v>15000</v>
      </c>
      <c r="J9" s="10">
        <f t="shared" si="4"/>
        <v>16736.111111111109</v>
      </c>
      <c r="K9" s="10">
        <f t="shared" si="4"/>
        <v>17638.888888888891</v>
      </c>
      <c r="L9" s="10">
        <f t="shared" si="1"/>
        <v>79138.888888888891</v>
      </c>
    </row>
    <row r="10" spans="1:12" ht="21.75" customHeight="1">
      <c r="A10" s="5"/>
      <c r="B10" s="6"/>
      <c r="C10" s="7" t="s">
        <v>21</v>
      </c>
      <c r="D10" s="8" t="s">
        <v>19</v>
      </c>
      <c r="E10" s="5"/>
      <c r="F10" s="10">
        <f t="shared" ref="F10:K10" si="5">F49</f>
        <v>21277.777777777777</v>
      </c>
      <c r="G10" s="10">
        <f t="shared" si="5"/>
        <v>30861.111111111109</v>
      </c>
      <c r="H10" s="10">
        <f t="shared" si="5"/>
        <v>36180.555555555555</v>
      </c>
      <c r="I10" s="10">
        <f t="shared" si="5"/>
        <v>31222.222222222223</v>
      </c>
      <c r="J10" s="10">
        <f t="shared" si="5"/>
        <v>35402.777777777774</v>
      </c>
      <c r="K10" s="10">
        <f t="shared" si="5"/>
        <v>38750</v>
      </c>
      <c r="L10" s="10">
        <f t="shared" si="1"/>
        <v>193694.44444444444</v>
      </c>
    </row>
    <row r="11" spans="1:12" ht="21.75" customHeight="1">
      <c r="A11" s="5"/>
      <c r="B11" s="6" t="s">
        <v>22</v>
      </c>
      <c r="C11" s="7" t="s">
        <v>23</v>
      </c>
      <c r="D11" s="8" t="s">
        <v>16</v>
      </c>
      <c r="E11" s="5"/>
      <c r="F11" s="9">
        <f t="shared" ref="F11:K11" si="6">F51</f>
        <v>12000</v>
      </c>
      <c r="G11" s="9">
        <f t="shared" si="6"/>
        <v>25000</v>
      </c>
      <c r="H11" s="9">
        <f t="shared" si="6"/>
        <v>50000</v>
      </c>
      <c r="I11" s="9">
        <f t="shared" si="6"/>
        <v>100000</v>
      </c>
      <c r="J11" s="9">
        <f t="shared" si="6"/>
        <v>200000</v>
      </c>
      <c r="K11" s="9">
        <f t="shared" si="6"/>
        <v>400000</v>
      </c>
      <c r="L11" s="9">
        <f>K11</f>
        <v>400000</v>
      </c>
    </row>
    <row r="12" spans="1:12" ht="21.75" customHeight="1">
      <c r="A12" s="5"/>
      <c r="B12" s="6"/>
      <c r="C12" s="7" t="s">
        <v>24</v>
      </c>
      <c r="D12" s="8" t="s">
        <v>16</v>
      </c>
      <c r="E12" s="5"/>
      <c r="F12" s="9">
        <f t="shared" ref="F12:K12" si="7">F55</f>
        <v>1200</v>
      </c>
      <c r="G12" s="9">
        <f t="shared" si="7"/>
        <v>5000</v>
      </c>
      <c r="H12" s="9">
        <f t="shared" si="7"/>
        <v>12500</v>
      </c>
      <c r="I12" s="9">
        <f t="shared" si="7"/>
        <v>30000</v>
      </c>
      <c r="J12" s="9">
        <f t="shared" si="7"/>
        <v>60000</v>
      </c>
      <c r="K12" s="9">
        <f t="shared" si="7"/>
        <v>120000</v>
      </c>
      <c r="L12" s="9">
        <f t="shared" si="1"/>
        <v>228700</v>
      </c>
    </row>
    <row r="13" spans="1:12" ht="21.75" customHeight="1">
      <c r="A13" s="5"/>
      <c r="B13" s="6"/>
      <c r="C13" s="7" t="s">
        <v>25</v>
      </c>
      <c r="D13" s="8" t="s">
        <v>19</v>
      </c>
      <c r="E13" s="5"/>
      <c r="F13" s="10">
        <f t="shared" ref="F13:K13" si="8">F57</f>
        <v>240</v>
      </c>
      <c r="G13" s="10">
        <f t="shared" si="8"/>
        <v>2500</v>
      </c>
      <c r="H13" s="10">
        <f t="shared" si="8"/>
        <v>11250</v>
      </c>
      <c r="I13" s="10">
        <f t="shared" si="8"/>
        <v>24000</v>
      </c>
      <c r="J13" s="10">
        <f t="shared" si="8"/>
        <v>42000</v>
      </c>
      <c r="K13" s="10">
        <f t="shared" si="8"/>
        <v>72000</v>
      </c>
      <c r="L13" s="10">
        <f t="shared" si="1"/>
        <v>151990</v>
      </c>
    </row>
    <row r="14" spans="1:12" ht="21.75" customHeight="1">
      <c r="A14" s="5"/>
      <c r="B14" s="6" t="s">
        <v>26</v>
      </c>
      <c r="C14" s="7" t="s">
        <v>27</v>
      </c>
      <c r="D14" s="8" t="s">
        <v>16</v>
      </c>
      <c r="E14" s="5"/>
      <c r="F14" s="9">
        <f t="shared" ref="F14:K14" si="9">F64</f>
        <v>112000</v>
      </c>
      <c r="G14" s="9">
        <f t="shared" si="9"/>
        <v>172800</v>
      </c>
      <c r="H14" s="9">
        <f t="shared" si="9"/>
        <v>268800</v>
      </c>
      <c r="I14" s="9">
        <f t="shared" si="9"/>
        <v>254528</v>
      </c>
      <c r="J14" s="9">
        <f t="shared" si="9"/>
        <v>247520</v>
      </c>
      <c r="K14" s="9">
        <f t="shared" si="9"/>
        <v>274720</v>
      </c>
      <c r="L14" s="9">
        <f t="shared" si="1"/>
        <v>1330368</v>
      </c>
    </row>
    <row r="15" spans="1:12" ht="21.75" customHeight="1">
      <c r="A15" s="5"/>
      <c r="B15" s="6"/>
      <c r="C15" s="7" t="s">
        <v>28</v>
      </c>
      <c r="D15" s="8" t="s">
        <v>29</v>
      </c>
      <c r="E15" s="5"/>
      <c r="F15" s="11">
        <f>F62</f>
        <v>0.7</v>
      </c>
      <c r="G15" s="11">
        <f>G62</f>
        <v>0.75</v>
      </c>
      <c r="H15" s="11">
        <f>H62</f>
        <v>0.8</v>
      </c>
      <c r="I15" s="11">
        <f>I62</f>
        <v>0.82</v>
      </c>
      <c r="J15" s="11">
        <f>J62</f>
        <v>0.85</v>
      </c>
      <c r="K15" s="11">
        <f>K62</f>
        <v>0.85</v>
      </c>
      <c r="L15" s="11">
        <f>AVERAGE(F15:K15)</f>
        <v>0.79499999999999993</v>
      </c>
    </row>
    <row r="16" spans="1:12" ht="21.75" customHeight="1">
      <c r="A16" s="5"/>
      <c r="B16" s="6"/>
      <c r="C16" s="7" t="s">
        <v>30</v>
      </c>
      <c r="D16" s="8" t="s">
        <v>16</v>
      </c>
      <c r="E16" s="5"/>
      <c r="F16" s="9">
        <f t="shared" ref="F16:K16" si="10">F65</f>
        <v>44.8</v>
      </c>
      <c r="G16" s="9">
        <f t="shared" si="10"/>
        <v>48</v>
      </c>
      <c r="H16" s="9">
        <f t="shared" si="10"/>
        <v>51.2</v>
      </c>
      <c r="I16" s="9">
        <f t="shared" si="10"/>
        <v>52.48</v>
      </c>
      <c r="J16" s="9">
        <f t="shared" si="10"/>
        <v>54.4</v>
      </c>
      <c r="K16" s="9">
        <f t="shared" si="10"/>
        <v>54.4</v>
      </c>
      <c r="L16" s="9">
        <f>SUM(F16:K16)</f>
        <v>305.27999999999997</v>
      </c>
    </row>
    <row r="17" spans="1:14" ht="21.75" customHeight="1">
      <c r="A17" s="5"/>
      <c r="B17" s="6" t="s">
        <v>31</v>
      </c>
      <c r="C17" s="7" t="s">
        <v>32</v>
      </c>
      <c r="D17" s="8" t="s">
        <v>19</v>
      </c>
      <c r="E17" s="5"/>
      <c r="F17" s="10">
        <f t="shared" ref="F17:K17" si="11">F94</f>
        <v>49</v>
      </c>
      <c r="G17" s="10">
        <f t="shared" si="11"/>
        <v>238</v>
      </c>
      <c r="H17" s="10">
        <f t="shared" si="11"/>
        <v>796</v>
      </c>
      <c r="I17" s="10">
        <f t="shared" si="11"/>
        <v>2015</v>
      </c>
      <c r="J17" s="10">
        <f t="shared" si="11"/>
        <v>7342</v>
      </c>
      <c r="K17" s="10">
        <f t="shared" si="11"/>
        <v>15456</v>
      </c>
      <c r="L17" s="10">
        <f>SUM(F17:K17)</f>
        <v>25896</v>
      </c>
    </row>
    <row r="18" spans="1:14" ht="21.75" customHeight="1">
      <c r="A18" s="5"/>
      <c r="B18" s="6"/>
      <c r="C18" s="7" t="s">
        <v>33</v>
      </c>
      <c r="D18" s="8" t="s">
        <v>19</v>
      </c>
      <c r="E18" s="5"/>
      <c r="F18" s="10">
        <f t="shared" ref="F18:K18" si="12">F99</f>
        <v>49</v>
      </c>
      <c r="G18" s="10">
        <f t="shared" si="12"/>
        <v>238</v>
      </c>
      <c r="H18" s="10">
        <f t="shared" si="12"/>
        <v>5796</v>
      </c>
      <c r="I18" s="10">
        <f t="shared" si="12"/>
        <v>12015</v>
      </c>
      <c r="J18" s="10">
        <f t="shared" si="12"/>
        <v>22842</v>
      </c>
      <c r="K18" s="10">
        <f t="shared" si="12"/>
        <v>42456</v>
      </c>
      <c r="L18" s="10">
        <f>SUM(F18:K18)</f>
        <v>83396</v>
      </c>
    </row>
    <row r="19" spans="1:14" ht="21.75" customHeight="1">
      <c r="A19" s="5"/>
      <c r="B19" s="6" t="s">
        <v>34</v>
      </c>
      <c r="C19" s="7" t="s">
        <v>35</v>
      </c>
      <c r="D19" s="8" t="s">
        <v>19</v>
      </c>
      <c r="E19" s="5"/>
      <c r="F19" s="10">
        <f t="shared" ref="F19:K19" si="13">F83</f>
        <v>29517.777777777777</v>
      </c>
      <c r="G19" s="10">
        <f t="shared" si="13"/>
        <v>47861.111111111109</v>
      </c>
      <c r="H19" s="10">
        <f t="shared" si="13"/>
        <v>74430.555555555562</v>
      </c>
      <c r="I19" s="10">
        <f t="shared" si="13"/>
        <v>90222.222222222219</v>
      </c>
      <c r="J19" s="10">
        <f t="shared" si="13"/>
        <v>114402.77777777778</v>
      </c>
      <c r="K19" s="10">
        <f t="shared" si="13"/>
        <v>152750</v>
      </c>
      <c r="L19" s="10">
        <f>SUM(F19:K19)</f>
        <v>509184.44444444444</v>
      </c>
    </row>
    <row r="20" spans="1:14" ht="21.75" customHeight="1">
      <c r="A20" s="5"/>
      <c r="B20" s="6"/>
      <c r="C20" s="7" t="s">
        <v>36</v>
      </c>
      <c r="D20" s="8" t="s">
        <v>19</v>
      </c>
      <c r="E20" s="5"/>
      <c r="F20" s="74">
        <f t="shared" ref="F20:K20" si="14">F101</f>
        <v>2.4598148148148149</v>
      </c>
      <c r="G20" s="74">
        <f t="shared" si="14"/>
        <v>1.9144444444444444</v>
      </c>
      <c r="H20" s="74">
        <f t="shared" si="14"/>
        <v>1.4886111111111113</v>
      </c>
      <c r="I20" s="74">
        <f t="shared" si="14"/>
        <v>0.90222222222222215</v>
      </c>
      <c r="J20" s="74">
        <f t="shared" si="14"/>
        <v>0.57201388888888893</v>
      </c>
      <c r="K20" s="74">
        <f t="shared" si="14"/>
        <v>0.38187500000000002</v>
      </c>
      <c r="L20" s="74">
        <f>SUM(F20:K20)</f>
        <v>7.7189814814814817</v>
      </c>
    </row>
    <row r="21" spans="1:14" ht="21.75" customHeight="1">
      <c r="A21" s="5"/>
      <c r="B21" s="6"/>
      <c r="C21" s="7" t="s">
        <v>37</v>
      </c>
      <c r="D21" s="8" t="s">
        <v>38</v>
      </c>
      <c r="E21" s="5"/>
      <c r="F21" s="12">
        <f t="shared" ref="F21:K21" si="15">F104</f>
        <v>1.6600165625235263E-3</v>
      </c>
      <c r="G21" s="12">
        <f t="shared" si="15"/>
        <v>4.9727219965177019E-3</v>
      </c>
      <c r="H21" s="12">
        <f t="shared" si="15"/>
        <v>7.7871244635193126E-2</v>
      </c>
      <c r="I21" s="12">
        <f t="shared" si="15"/>
        <v>0.13317118226600985</v>
      </c>
      <c r="J21" s="12">
        <f t="shared" si="15"/>
        <v>0.19966298409615152</v>
      </c>
      <c r="K21" s="12">
        <f t="shared" si="15"/>
        <v>0.27794435351882163</v>
      </c>
      <c r="L21" s="12">
        <f>AVERAGE(F21:K21)</f>
        <v>0.11588041717920289</v>
      </c>
    </row>
    <row r="23" spans="1:14" ht="27.75" customHeight="1">
      <c r="A23" s="13" t="s">
        <v>39</v>
      </c>
      <c r="B23" s="13" t="s">
        <v>40</v>
      </c>
      <c r="C23" s="13" t="s">
        <v>5</v>
      </c>
      <c r="D23" s="13" t="s">
        <v>6</v>
      </c>
      <c r="E23" s="13" t="s">
        <v>41</v>
      </c>
      <c r="F23" s="13" t="s">
        <v>7</v>
      </c>
      <c r="G23" s="13" t="s">
        <v>8</v>
      </c>
      <c r="H23" s="13" t="s">
        <v>9</v>
      </c>
      <c r="I23" s="13" t="s">
        <v>10</v>
      </c>
      <c r="J23" s="13" t="s">
        <v>11</v>
      </c>
      <c r="K23" s="13" t="s">
        <v>12</v>
      </c>
      <c r="L23" s="13" t="s">
        <v>13</v>
      </c>
    </row>
    <row r="24" spans="1:14" ht="27.75" customHeight="1">
      <c r="A24" s="82" t="s">
        <v>42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</row>
    <row r="25" spans="1:14">
      <c r="A25" s="14" t="s">
        <v>14</v>
      </c>
      <c r="B25" s="15" t="s">
        <v>43</v>
      </c>
      <c r="C25" s="16" t="s">
        <v>44</v>
      </c>
      <c r="D25" s="17" t="s">
        <v>16</v>
      </c>
      <c r="E25" s="18" t="s">
        <v>45</v>
      </c>
      <c r="F25" s="19">
        <f>+F26</f>
        <v>250</v>
      </c>
      <c r="G25" s="62">
        <f>F25+G26</f>
        <v>300</v>
      </c>
      <c r="H25" s="62">
        <f>G25+H26</f>
        <v>350</v>
      </c>
      <c r="I25" s="62">
        <f>H25+I26</f>
        <v>400</v>
      </c>
      <c r="J25" s="62">
        <f>I25+J26</f>
        <v>450</v>
      </c>
      <c r="K25" s="62">
        <f>J25+K26</f>
        <v>500</v>
      </c>
      <c r="L25" s="20"/>
    </row>
    <row r="26" spans="1:14">
      <c r="A26" s="14"/>
      <c r="B26" s="14"/>
      <c r="C26" s="68" t="s">
        <v>47</v>
      </c>
      <c r="D26" s="17" t="s">
        <v>16</v>
      </c>
      <c r="E26" s="18" t="s">
        <v>45</v>
      </c>
      <c r="F26" s="19">
        <v>250</v>
      </c>
      <c r="G26" s="19">
        <v>50</v>
      </c>
      <c r="H26" s="19">
        <v>50</v>
      </c>
      <c r="I26" s="19">
        <v>50</v>
      </c>
      <c r="J26" s="19">
        <v>50</v>
      </c>
      <c r="K26" s="19">
        <v>50</v>
      </c>
      <c r="L26" s="20"/>
    </row>
    <row r="27" spans="1:14">
      <c r="A27" s="14"/>
      <c r="B27" s="21"/>
      <c r="C27" s="16" t="s">
        <v>48</v>
      </c>
      <c r="D27" s="17" t="s">
        <v>16</v>
      </c>
      <c r="E27" s="18" t="s">
        <v>45</v>
      </c>
      <c r="F27" s="19">
        <v>10</v>
      </c>
      <c r="G27" s="19">
        <v>12</v>
      </c>
      <c r="H27" s="19">
        <v>15</v>
      </c>
      <c r="I27" s="19">
        <v>12</v>
      </c>
      <c r="J27" s="19">
        <v>10</v>
      </c>
      <c r="K27" s="19">
        <v>10</v>
      </c>
      <c r="L27" s="20"/>
    </row>
    <row r="28" spans="1:14">
      <c r="A28" s="14"/>
      <c r="B28" s="21"/>
      <c r="C28" s="16" t="s">
        <v>49</v>
      </c>
      <c r="D28" s="17" t="s">
        <v>16</v>
      </c>
      <c r="E28" s="18" t="s">
        <v>50</v>
      </c>
      <c r="F28" s="19"/>
      <c r="G28" s="19"/>
      <c r="H28" s="19"/>
      <c r="I28" s="19">
        <v>50</v>
      </c>
      <c r="J28" s="19">
        <v>50</v>
      </c>
      <c r="K28" s="19">
        <v>50</v>
      </c>
      <c r="L28" s="20"/>
    </row>
    <row r="29" spans="1:14">
      <c r="A29" s="14"/>
      <c r="B29" s="21"/>
      <c r="C29" s="16" t="s">
        <v>51</v>
      </c>
      <c r="D29" s="17" t="s">
        <v>16</v>
      </c>
      <c r="E29" s="18"/>
      <c r="F29" s="22">
        <f>F25*F27+F28</f>
        <v>2500</v>
      </c>
      <c r="G29" s="22">
        <f t="shared" ref="G29:K29" si="16">G25*G27+G28</f>
        <v>3600</v>
      </c>
      <c r="H29" s="22">
        <f t="shared" si="16"/>
        <v>5250</v>
      </c>
      <c r="I29" s="22">
        <f t="shared" si="16"/>
        <v>4850</v>
      </c>
      <c r="J29" s="22">
        <f t="shared" si="16"/>
        <v>4550</v>
      </c>
      <c r="K29" s="22">
        <f t="shared" si="16"/>
        <v>5050</v>
      </c>
      <c r="L29" s="23">
        <f>SUM(F29:K29)</f>
        <v>25800</v>
      </c>
    </row>
    <row r="30" spans="1:14">
      <c r="A30" s="14"/>
      <c r="B30" s="15" t="s">
        <v>52</v>
      </c>
      <c r="C30" s="16" t="s">
        <v>53</v>
      </c>
      <c r="D30" s="17" t="s">
        <v>54</v>
      </c>
      <c r="E30" s="18" t="s">
        <v>55</v>
      </c>
      <c r="F30" s="24">
        <v>3500</v>
      </c>
      <c r="G30" s="24">
        <v>4000</v>
      </c>
      <c r="H30" s="24">
        <v>4500</v>
      </c>
      <c r="I30" s="24">
        <v>2000</v>
      </c>
      <c r="J30" s="24">
        <v>2000</v>
      </c>
      <c r="K30" s="24">
        <v>2000</v>
      </c>
      <c r="L30" s="25"/>
      <c r="N30" t="s">
        <v>56</v>
      </c>
    </row>
    <row r="31" spans="1:14">
      <c r="A31" s="14"/>
      <c r="B31" s="21"/>
      <c r="C31" s="16" t="s">
        <v>57</v>
      </c>
      <c r="D31" s="17" t="s">
        <v>54</v>
      </c>
      <c r="E31" s="18"/>
      <c r="F31" s="26">
        <f t="shared" ref="F31:K31" si="17">F25*F30</f>
        <v>875000</v>
      </c>
      <c r="G31" s="26">
        <f t="shared" si="17"/>
        <v>1200000</v>
      </c>
      <c r="H31" s="26">
        <f t="shared" si="17"/>
        <v>1575000</v>
      </c>
      <c r="I31" s="26">
        <f t="shared" si="17"/>
        <v>800000</v>
      </c>
      <c r="J31" s="26">
        <f t="shared" si="17"/>
        <v>900000</v>
      </c>
      <c r="K31" s="26">
        <f t="shared" si="17"/>
        <v>1000000</v>
      </c>
      <c r="L31" s="27">
        <f>SUM(F31:K31)</f>
        <v>6350000</v>
      </c>
    </row>
    <row r="32" spans="1:14">
      <c r="A32" s="14"/>
      <c r="B32" s="21"/>
      <c r="C32" s="16" t="s">
        <v>58</v>
      </c>
      <c r="D32" s="17" t="s">
        <v>19</v>
      </c>
      <c r="E32" s="18"/>
      <c r="F32" s="28">
        <f t="shared" ref="F32:K32" si="18">F31/$B$3</f>
        <v>9722.2222222222226</v>
      </c>
      <c r="G32" s="28">
        <f t="shared" si="18"/>
        <v>13333.333333333334</v>
      </c>
      <c r="H32" s="28">
        <f t="shared" si="18"/>
        <v>17500</v>
      </c>
      <c r="I32" s="28">
        <f t="shared" si="18"/>
        <v>8888.8888888888887</v>
      </c>
      <c r="J32" s="28">
        <f t="shared" si="18"/>
        <v>10000</v>
      </c>
      <c r="K32" s="28">
        <f t="shared" si="18"/>
        <v>11111.111111111111</v>
      </c>
      <c r="L32" s="29">
        <f>SUM(F32:K32)</f>
        <v>70555.555555555562</v>
      </c>
    </row>
    <row r="33" spans="1:22">
      <c r="A33" s="14"/>
      <c r="B33" s="15" t="s">
        <v>59</v>
      </c>
      <c r="C33" s="16" t="s">
        <v>60</v>
      </c>
      <c r="D33" s="17" t="s">
        <v>54</v>
      </c>
      <c r="E33" s="18" t="s">
        <v>61</v>
      </c>
      <c r="F33" s="24">
        <v>240000</v>
      </c>
      <c r="G33" s="24">
        <v>240000</v>
      </c>
      <c r="H33" s="24">
        <v>240000</v>
      </c>
      <c r="I33" s="24">
        <v>360000</v>
      </c>
      <c r="J33" s="24">
        <v>480000</v>
      </c>
      <c r="K33" s="24">
        <v>600000</v>
      </c>
      <c r="L33" s="25"/>
    </row>
    <row r="34" spans="1:22" ht="15" thickBot="1">
      <c r="A34" s="14"/>
      <c r="B34" s="21"/>
      <c r="C34" s="16" t="s">
        <v>62</v>
      </c>
      <c r="D34" s="17" t="s">
        <v>19</v>
      </c>
      <c r="E34" s="18"/>
      <c r="F34" s="28">
        <f t="shared" ref="F34:K34" si="19">F33/$B$3</f>
        <v>2666.6666666666665</v>
      </c>
      <c r="G34" s="28">
        <f t="shared" si="19"/>
        <v>2666.6666666666665</v>
      </c>
      <c r="H34" s="56">
        <f t="shared" si="19"/>
        <v>2666.6666666666665</v>
      </c>
      <c r="I34" s="28">
        <f t="shared" si="19"/>
        <v>4000</v>
      </c>
      <c r="J34" s="28">
        <f t="shared" si="19"/>
        <v>5333.333333333333</v>
      </c>
      <c r="K34" s="56">
        <f t="shared" si="19"/>
        <v>6666.666666666667</v>
      </c>
      <c r="L34" s="29">
        <f>SUM(F34:K34)</f>
        <v>24000</v>
      </c>
    </row>
    <row r="35" spans="1:22" ht="15" thickBot="1">
      <c r="A35" s="14"/>
      <c r="B35" s="15" t="s">
        <v>63</v>
      </c>
      <c r="C35" s="16" t="s">
        <v>64</v>
      </c>
      <c r="D35" s="17" t="s">
        <v>54</v>
      </c>
      <c r="E35" s="18" t="s">
        <v>65</v>
      </c>
      <c r="F35" s="24">
        <f>U40</f>
        <v>300000</v>
      </c>
      <c r="G35" s="54">
        <f>U40</f>
        <v>300000</v>
      </c>
      <c r="H35" s="58">
        <f>U40</f>
        <v>300000</v>
      </c>
      <c r="I35" s="55">
        <f>U40</f>
        <v>300000</v>
      </c>
      <c r="J35" s="54">
        <f>U40</f>
        <v>300000</v>
      </c>
      <c r="K35" s="58">
        <f>U40</f>
        <v>300000</v>
      </c>
      <c r="L35" s="59"/>
      <c r="N35" t="s">
        <v>66</v>
      </c>
    </row>
    <row r="36" spans="1:22">
      <c r="A36" s="14"/>
      <c r="B36" s="21"/>
      <c r="C36" s="16" t="s">
        <v>67</v>
      </c>
      <c r="D36" s="17" t="s">
        <v>19</v>
      </c>
      <c r="E36" s="18"/>
      <c r="F36" s="28">
        <f t="shared" ref="F36:K36" si="20">F35/$B$3</f>
        <v>3333.3333333333335</v>
      </c>
      <c r="G36" s="28">
        <f t="shared" si="20"/>
        <v>3333.3333333333335</v>
      </c>
      <c r="H36" s="57">
        <f t="shared" si="20"/>
        <v>3333.3333333333335</v>
      </c>
      <c r="I36" s="28">
        <f t="shared" si="20"/>
        <v>3333.3333333333335</v>
      </c>
      <c r="J36" s="28">
        <f t="shared" si="20"/>
        <v>3333.3333333333335</v>
      </c>
      <c r="K36" s="57">
        <f t="shared" si="20"/>
        <v>3333.3333333333335</v>
      </c>
      <c r="L36" s="29">
        <f>SUM(F36:K36)</f>
        <v>20000</v>
      </c>
      <c r="P36" s="51">
        <f>SUM(F35:K35)</f>
        <v>1800000</v>
      </c>
      <c r="R36" t="s">
        <v>68</v>
      </c>
      <c r="S36" t="s">
        <v>69</v>
      </c>
      <c r="T36" t="s">
        <v>70</v>
      </c>
      <c r="U36" t="s">
        <v>71</v>
      </c>
    </row>
    <row r="37" spans="1:22">
      <c r="A37" s="30"/>
      <c r="B37" s="31"/>
      <c r="C37" s="32" t="s">
        <v>72</v>
      </c>
      <c r="D37" s="33" t="s">
        <v>19</v>
      </c>
      <c r="E37" s="34"/>
      <c r="F37" s="35">
        <f t="shared" ref="F37:K37" si="21">F32+F34+F36</f>
        <v>15722.222222222223</v>
      </c>
      <c r="G37" s="35">
        <f t="shared" si="21"/>
        <v>19333.333333333332</v>
      </c>
      <c r="H37" s="35">
        <f t="shared" si="21"/>
        <v>23500</v>
      </c>
      <c r="I37" s="35">
        <f t="shared" si="21"/>
        <v>16222.222222222223</v>
      </c>
      <c r="J37" s="35">
        <f t="shared" si="21"/>
        <v>18666.666666666664</v>
      </c>
      <c r="K37" s="35">
        <f t="shared" si="21"/>
        <v>21111.111111111109</v>
      </c>
      <c r="L37" s="36">
        <f>SUM(F37:K37)</f>
        <v>114555.55555555555</v>
      </c>
      <c r="P37">
        <f>P36/B3</f>
        <v>20000</v>
      </c>
      <c r="R37" s="52">
        <v>50000</v>
      </c>
      <c r="S37">
        <v>3</v>
      </c>
      <c r="T37" s="52">
        <f>R37*S37</f>
        <v>150000</v>
      </c>
      <c r="U37" s="53">
        <f>T37/3</f>
        <v>50000</v>
      </c>
    </row>
    <row r="38" spans="1:22">
      <c r="A38" s="14"/>
      <c r="B38" s="21"/>
      <c r="C38" s="16" t="s">
        <v>73</v>
      </c>
      <c r="D38" s="17" t="s">
        <v>54</v>
      </c>
      <c r="E38" s="18" t="s">
        <v>74</v>
      </c>
      <c r="F38" s="26">
        <f t="shared" ref="F38:K38" si="22">6500+25000</f>
        <v>31500</v>
      </c>
      <c r="G38" s="26">
        <f t="shared" si="22"/>
        <v>31500</v>
      </c>
      <c r="H38" s="26">
        <f t="shared" si="22"/>
        <v>31500</v>
      </c>
      <c r="I38" s="26">
        <f t="shared" si="22"/>
        <v>31500</v>
      </c>
      <c r="J38" s="26">
        <f t="shared" si="22"/>
        <v>31500</v>
      </c>
      <c r="K38" s="26">
        <f t="shared" si="22"/>
        <v>31500</v>
      </c>
      <c r="L38" s="25"/>
      <c r="R38" s="52">
        <v>25000</v>
      </c>
      <c r="S38">
        <v>10</v>
      </c>
      <c r="T38" s="52">
        <f>R38*S38</f>
        <v>250000</v>
      </c>
      <c r="U38" s="53">
        <f>T38/3</f>
        <v>83333.333333333328</v>
      </c>
    </row>
    <row r="39" spans="1:22">
      <c r="A39" s="14"/>
      <c r="B39" s="21"/>
      <c r="C39" s="16" t="s">
        <v>75</v>
      </c>
      <c r="D39" s="17" t="s">
        <v>54</v>
      </c>
      <c r="E39" s="18"/>
      <c r="F39" s="26">
        <f t="shared" ref="F39:K39" si="23">IF(F25=0,"-",(F31+F33+F35)/F25)</f>
        <v>5660</v>
      </c>
      <c r="G39" s="26">
        <f t="shared" si="23"/>
        <v>5800</v>
      </c>
      <c r="H39" s="26">
        <f t="shared" si="23"/>
        <v>6042.8571428571431</v>
      </c>
      <c r="I39" s="26">
        <f t="shared" si="23"/>
        <v>3650</v>
      </c>
      <c r="J39" s="26">
        <f t="shared" si="23"/>
        <v>3733.3333333333335</v>
      </c>
      <c r="K39" s="26">
        <f t="shared" si="23"/>
        <v>3800</v>
      </c>
      <c r="L39" s="25"/>
      <c r="R39" s="52">
        <v>10000</v>
      </c>
      <c r="S39">
        <v>50</v>
      </c>
      <c r="T39" s="52">
        <f>R39*S39</f>
        <v>500000</v>
      </c>
      <c r="U39" s="53">
        <f>T39/3</f>
        <v>166666.66666666666</v>
      </c>
    </row>
    <row r="40" spans="1:22">
      <c r="A40" s="14"/>
      <c r="B40" s="15" t="s">
        <v>20</v>
      </c>
      <c r="C40" s="60" t="s">
        <v>76</v>
      </c>
      <c r="D40" s="17" t="s">
        <v>54</v>
      </c>
      <c r="E40" s="18" t="s">
        <v>77</v>
      </c>
      <c r="F40" s="69">
        <f>F41*F25+F42</f>
        <v>500000</v>
      </c>
      <c r="G40" s="69">
        <f t="shared" ref="G40:K40" si="24">G41*G25+G42</f>
        <v>700000</v>
      </c>
      <c r="H40" s="69">
        <f t="shared" si="24"/>
        <v>800000</v>
      </c>
      <c r="I40" s="69">
        <f t="shared" si="24"/>
        <v>900000</v>
      </c>
      <c r="J40" s="69">
        <f t="shared" si="24"/>
        <v>1000000</v>
      </c>
      <c r="K40" s="69">
        <f t="shared" si="24"/>
        <v>1100000</v>
      </c>
      <c r="L40" s="25"/>
      <c r="N40" t="s">
        <v>78</v>
      </c>
      <c r="T40" s="53">
        <f>SUM(T37:T39)</f>
        <v>900000</v>
      </c>
      <c r="U40" s="53">
        <f>SUM(U37:U39)</f>
        <v>300000</v>
      </c>
      <c r="V40" t="s">
        <v>79</v>
      </c>
    </row>
    <row r="41" spans="1:22">
      <c r="A41" s="14"/>
      <c r="B41" s="14"/>
      <c r="C41" s="67" t="s">
        <v>80</v>
      </c>
      <c r="D41" s="17" t="s">
        <v>54</v>
      </c>
      <c r="E41" s="18" t="s">
        <v>77</v>
      </c>
      <c r="F41" s="24">
        <v>2000</v>
      </c>
      <c r="G41" s="24">
        <v>2000</v>
      </c>
      <c r="H41" s="24">
        <v>2000</v>
      </c>
      <c r="I41" s="24">
        <v>2000</v>
      </c>
      <c r="J41" s="24">
        <v>2000</v>
      </c>
      <c r="K41" s="24">
        <v>2000</v>
      </c>
      <c r="L41" s="25"/>
      <c r="T41" s="53"/>
      <c r="U41" s="53"/>
    </row>
    <row r="42" spans="1:22" s="65" customFormat="1" ht="14.1">
      <c r="A42" s="63"/>
      <c r="B42" s="63"/>
      <c r="C42" s="67" t="s">
        <v>81</v>
      </c>
      <c r="D42" s="17" t="s">
        <v>54</v>
      </c>
      <c r="E42" s="18"/>
      <c r="F42" s="26"/>
      <c r="G42" s="26">
        <f>G26*G$41</f>
        <v>100000</v>
      </c>
      <c r="H42" s="26">
        <f t="shared" ref="H42:K42" si="25">H26*H$41</f>
        <v>100000</v>
      </c>
      <c r="I42" s="26">
        <f t="shared" si="25"/>
        <v>100000</v>
      </c>
      <c r="J42" s="26">
        <f t="shared" si="25"/>
        <v>100000</v>
      </c>
      <c r="K42" s="26">
        <f t="shared" si="25"/>
        <v>100000</v>
      </c>
      <c r="L42" s="64"/>
      <c r="T42" s="66"/>
      <c r="U42" s="66"/>
    </row>
    <row r="43" spans="1:22">
      <c r="A43" s="14"/>
      <c r="B43" s="21"/>
      <c r="C43" s="60" t="s">
        <v>82</v>
      </c>
      <c r="D43" s="17" t="s">
        <v>54</v>
      </c>
      <c r="E43" s="18" t="s">
        <v>77</v>
      </c>
      <c r="F43" s="26">
        <f>(F$25*F44*1500)+(F$25*F45*1500)</f>
        <v>0</v>
      </c>
      <c r="G43" s="26">
        <f t="shared" ref="G43:K43" si="26">(G$25*G44*1500)+(G$25*G45*1500)</f>
        <v>337500</v>
      </c>
      <c r="H43" s="26">
        <f t="shared" si="26"/>
        <v>341250</v>
      </c>
      <c r="I43" s="26">
        <f t="shared" si="26"/>
        <v>450000.00000000006</v>
      </c>
      <c r="J43" s="26">
        <f t="shared" si="26"/>
        <v>506250.00000000006</v>
      </c>
      <c r="K43" s="26">
        <f t="shared" si="26"/>
        <v>487500</v>
      </c>
      <c r="L43" s="25"/>
      <c r="N43" t="s">
        <v>83</v>
      </c>
    </row>
    <row r="44" spans="1:22">
      <c r="A44" s="14"/>
      <c r="B44" s="21"/>
      <c r="C44" s="67" t="s">
        <v>84</v>
      </c>
      <c r="D44" s="17" t="s">
        <v>54</v>
      </c>
      <c r="E44" s="61" t="s">
        <v>29</v>
      </c>
      <c r="F44" s="37"/>
      <c r="G44" s="37">
        <v>0.55000000000000004</v>
      </c>
      <c r="H44" s="37">
        <v>0.5</v>
      </c>
      <c r="I44" s="37">
        <v>0.55000000000000004</v>
      </c>
      <c r="J44" s="37">
        <v>0.55000000000000004</v>
      </c>
      <c r="K44" s="37">
        <v>0.5</v>
      </c>
      <c r="L44" s="25"/>
      <c r="O44" t="s">
        <v>85</v>
      </c>
    </row>
    <row r="45" spans="1:22">
      <c r="A45" s="14"/>
      <c r="B45" s="21"/>
      <c r="C45" s="67" t="s">
        <v>86</v>
      </c>
      <c r="D45" s="17" t="s">
        <v>54</v>
      </c>
      <c r="E45" s="61" t="s">
        <v>29</v>
      </c>
      <c r="F45" s="37"/>
      <c r="G45" s="37">
        <v>0.2</v>
      </c>
      <c r="H45" s="37">
        <v>0.15</v>
      </c>
      <c r="I45" s="37">
        <v>0.2</v>
      </c>
      <c r="J45" s="37">
        <v>0.2</v>
      </c>
      <c r="K45" s="37">
        <v>0.15</v>
      </c>
      <c r="L45" s="25"/>
      <c r="O45" t="s">
        <v>87</v>
      </c>
    </row>
    <row r="46" spans="1:22">
      <c r="A46" s="14"/>
      <c r="B46" s="21"/>
      <c r="C46" s="16" t="s">
        <v>88</v>
      </c>
      <c r="D46" s="17" t="s">
        <v>54</v>
      </c>
      <c r="E46" s="18"/>
      <c r="F46" s="26">
        <f>F40+F43</f>
        <v>500000</v>
      </c>
      <c r="G46" s="26">
        <f t="shared" ref="G46:K46" si="27">G40+G43</f>
        <v>1037500</v>
      </c>
      <c r="H46" s="26">
        <f t="shared" si="27"/>
        <v>1141250</v>
      </c>
      <c r="I46" s="26">
        <f t="shared" si="27"/>
        <v>1350000</v>
      </c>
      <c r="J46" s="26">
        <f t="shared" si="27"/>
        <v>1506250</v>
      </c>
      <c r="K46" s="26">
        <f t="shared" si="27"/>
        <v>1587500</v>
      </c>
      <c r="L46" s="27">
        <f>SUM(F46:K46)</f>
        <v>7122500</v>
      </c>
    </row>
    <row r="47" spans="1:22">
      <c r="A47" s="14"/>
      <c r="B47" s="21"/>
      <c r="C47" s="16" t="s">
        <v>89</v>
      </c>
      <c r="D47" s="17" t="s">
        <v>19</v>
      </c>
      <c r="E47" s="18"/>
      <c r="F47" s="28">
        <f t="shared" ref="F47:K47" si="28">F46/$B$3</f>
        <v>5555.5555555555557</v>
      </c>
      <c r="G47" s="28">
        <f t="shared" si="28"/>
        <v>11527.777777777777</v>
      </c>
      <c r="H47" s="28">
        <f t="shared" si="28"/>
        <v>12680.555555555555</v>
      </c>
      <c r="I47" s="28">
        <f t="shared" si="28"/>
        <v>15000</v>
      </c>
      <c r="J47" s="28">
        <f t="shared" si="28"/>
        <v>16736.111111111109</v>
      </c>
      <c r="K47" s="28">
        <f t="shared" si="28"/>
        <v>17638.888888888891</v>
      </c>
      <c r="L47" s="29">
        <f>SUM(F47:K47)</f>
        <v>79138.888888888891</v>
      </c>
    </row>
    <row r="48" spans="1:22">
      <c r="A48" s="14"/>
      <c r="B48" s="21"/>
      <c r="C48" s="16" t="s">
        <v>90</v>
      </c>
      <c r="D48" s="17" t="s">
        <v>54</v>
      </c>
      <c r="E48" s="18" t="s">
        <v>91</v>
      </c>
      <c r="F48" s="26">
        <f t="shared" ref="F48:K48" si="29">IF(F29=0,"-",F46/F29)</f>
        <v>200</v>
      </c>
      <c r="G48" s="26">
        <f t="shared" si="29"/>
        <v>288.19444444444446</v>
      </c>
      <c r="H48" s="26">
        <f t="shared" si="29"/>
        <v>217.38095238095238</v>
      </c>
      <c r="I48" s="26">
        <f t="shared" si="29"/>
        <v>278.35051546391753</v>
      </c>
      <c r="J48" s="26">
        <f t="shared" si="29"/>
        <v>331.04395604395603</v>
      </c>
      <c r="K48" s="26">
        <f t="shared" si="29"/>
        <v>314.35643564356434</v>
      </c>
      <c r="L48" s="25"/>
    </row>
    <row r="49" spans="1:14">
      <c r="A49" s="30"/>
      <c r="B49" s="31"/>
      <c r="C49" s="32" t="s">
        <v>92</v>
      </c>
      <c r="D49" s="33" t="s">
        <v>19</v>
      </c>
      <c r="E49" s="34"/>
      <c r="F49" s="35">
        <f t="shared" ref="F49:K49" si="30">F37+F47</f>
        <v>21277.777777777777</v>
      </c>
      <c r="G49" s="35">
        <f t="shared" si="30"/>
        <v>30861.111111111109</v>
      </c>
      <c r="H49" s="35">
        <f t="shared" si="30"/>
        <v>36180.555555555555</v>
      </c>
      <c r="I49" s="35">
        <f t="shared" si="30"/>
        <v>31222.222222222223</v>
      </c>
      <c r="J49" s="35">
        <f t="shared" si="30"/>
        <v>35402.777777777774</v>
      </c>
      <c r="K49" s="35">
        <f t="shared" si="30"/>
        <v>38750</v>
      </c>
      <c r="L49" s="36">
        <f>SUM(F49:K49)</f>
        <v>193694.44444444444</v>
      </c>
    </row>
    <row r="50" spans="1:14" ht="27.75" customHeight="1">
      <c r="A50" s="83" t="s">
        <v>93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</row>
    <row r="51" spans="1:14">
      <c r="A51" s="14" t="s">
        <v>22</v>
      </c>
      <c r="B51" s="15" t="s">
        <v>94</v>
      </c>
      <c r="C51" s="16" t="s">
        <v>23</v>
      </c>
      <c r="D51" s="17" t="s">
        <v>16</v>
      </c>
      <c r="E51" s="18" t="s">
        <v>45</v>
      </c>
      <c r="F51" s="19">
        <v>12000</v>
      </c>
      <c r="G51" s="19">
        <v>25000</v>
      </c>
      <c r="H51" s="19">
        <v>50000</v>
      </c>
      <c r="I51" s="19">
        <v>100000</v>
      </c>
      <c r="J51" s="19">
        <v>200000</v>
      </c>
      <c r="K51" s="19">
        <v>400000</v>
      </c>
      <c r="L51" s="20"/>
      <c r="N51" t="s">
        <v>95</v>
      </c>
    </row>
    <row r="52" spans="1:14">
      <c r="A52" s="14"/>
      <c r="B52" s="21"/>
      <c r="C52" s="16" t="s">
        <v>100</v>
      </c>
      <c r="D52" s="17" t="s">
        <v>29</v>
      </c>
      <c r="E52" s="18"/>
      <c r="F52" s="37">
        <v>0.15</v>
      </c>
      <c r="G52" s="37">
        <v>0.16</v>
      </c>
      <c r="H52" s="37">
        <v>0.17</v>
      </c>
      <c r="I52" s="37">
        <v>0.18</v>
      </c>
      <c r="J52" s="37">
        <v>0.19</v>
      </c>
      <c r="K52" s="37">
        <v>0.2</v>
      </c>
      <c r="L52" s="38"/>
    </row>
    <row r="53" spans="1:14">
      <c r="A53" s="14"/>
      <c r="B53" s="21"/>
      <c r="C53" s="16" t="s">
        <v>101</v>
      </c>
      <c r="D53" s="17" t="s">
        <v>16</v>
      </c>
      <c r="E53" s="18"/>
      <c r="F53" s="22">
        <f t="shared" ref="F53:K53" si="31">ROUND(F51*F52,0)</f>
        <v>1800</v>
      </c>
      <c r="G53" s="22">
        <f t="shared" si="31"/>
        <v>4000</v>
      </c>
      <c r="H53" s="22">
        <f t="shared" si="31"/>
        <v>8500</v>
      </c>
      <c r="I53" s="22">
        <f t="shared" si="31"/>
        <v>18000</v>
      </c>
      <c r="J53" s="22">
        <f t="shared" si="31"/>
        <v>38000</v>
      </c>
      <c r="K53" s="22">
        <f t="shared" si="31"/>
        <v>80000</v>
      </c>
      <c r="L53" s="23">
        <f>SUM(F53:K53)</f>
        <v>150300</v>
      </c>
    </row>
    <row r="54" spans="1:14">
      <c r="A54" s="14"/>
      <c r="B54" s="15" t="s">
        <v>102</v>
      </c>
      <c r="C54" s="16" t="s">
        <v>103</v>
      </c>
      <c r="D54" s="17" t="s">
        <v>29</v>
      </c>
      <c r="E54" s="18"/>
      <c r="F54" s="37">
        <v>0.1</v>
      </c>
      <c r="G54" s="37">
        <v>0.2</v>
      </c>
      <c r="H54" s="37">
        <v>0.25</v>
      </c>
      <c r="I54" s="37">
        <v>0.3</v>
      </c>
      <c r="J54" s="37">
        <v>0.3</v>
      </c>
      <c r="K54" s="37">
        <v>0.3</v>
      </c>
      <c r="L54" s="38"/>
    </row>
    <row r="55" spans="1:14">
      <c r="A55" s="14"/>
      <c r="B55" s="21"/>
      <c r="C55" s="16" t="s">
        <v>104</v>
      </c>
      <c r="D55" s="17" t="s">
        <v>16</v>
      </c>
      <c r="E55" s="18"/>
      <c r="F55" s="22">
        <f t="shared" ref="F55:K55" si="32">ROUND(F51*F54,0)</f>
        <v>1200</v>
      </c>
      <c r="G55" s="22">
        <f t="shared" si="32"/>
        <v>5000</v>
      </c>
      <c r="H55" s="22">
        <f t="shared" si="32"/>
        <v>12500</v>
      </c>
      <c r="I55" s="22">
        <f t="shared" si="32"/>
        <v>30000</v>
      </c>
      <c r="J55" s="22">
        <f t="shared" si="32"/>
        <v>60000</v>
      </c>
      <c r="K55" s="22">
        <f t="shared" si="32"/>
        <v>120000</v>
      </c>
      <c r="L55" s="23">
        <f>SUM(F55:K55)</f>
        <v>228700</v>
      </c>
    </row>
    <row r="56" spans="1:14">
      <c r="A56" s="14"/>
      <c r="B56" s="15" t="s">
        <v>105</v>
      </c>
      <c r="C56" s="16" t="s">
        <v>106</v>
      </c>
      <c r="D56" s="17" t="s">
        <v>19</v>
      </c>
      <c r="E56" s="18"/>
      <c r="F56" s="73">
        <v>0.2</v>
      </c>
      <c r="G56" s="73">
        <v>0.5</v>
      </c>
      <c r="H56" s="73">
        <v>0.9</v>
      </c>
      <c r="I56" s="73">
        <v>0.8</v>
      </c>
      <c r="J56" s="73">
        <v>0.7</v>
      </c>
      <c r="K56" s="73">
        <v>0.6</v>
      </c>
      <c r="L56" s="40"/>
    </row>
    <row r="57" spans="1:14">
      <c r="A57" s="14"/>
      <c r="B57" s="21"/>
      <c r="C57" s="16" t="s">
        <v>107</v>
      </c>
      <c r="D57" s="17" t="s">
        <v>19</v>
      </c>
      <c r="E57" s="18"/>
      <c r="F57" s="28">
        <f t="shared" ref="F57:K57" si="33">F55*F56</f>
        <v>240</v>
      </c>
      <c r="G57" s="28">
        <f t="shared" si="33"/>
        <v>2500</v>
      </c>
      <c r="H57" s="28">
        <f t="shared" si="33"/>
        <v>11250</v>
      </c>
      <c r="I57" s="28">
        <f t="shared" si="33"/>
        <v>24000</v>
      </c>
      <c r="J57" s="28">
        <f t="shared" si="33"/>
        <v>42000</v>
      </c>
      <c r="K57" s="28">
        <f t="shared" si="33"/>
        <v>72000</v>
      </c>
      <c r="L57" s="29">
        <f>SUM(F57:K57)</f>
        <v>151990</v>
      </c>
    </row>
    <row r="58" spans="1:14">
      <c r="A58" s="14"/>
      <c r="B58" s="21"/>
      <c r="C58" s="16" t="s">
        <v>108</v>
      </c>
      <c r="D58" s="17" t="s">
        <v>19</v>
      </c>
      <c r="E58" s="18"/>
      <c r="F58" s="28">
        <f t="shared" ref="F58:K58" si="34">IF(F51=0,"-",F57/F51)</f>
        <v>0.02</v>
      </c>
      <c r="G58" s="28">
        <f t="shared" si="34"/>
        <v>0.1</v>
      </c>
      <c r="H58" s="28">
        <f t="shared" si="34"/>
        <v>0.22500000000000001</v>
      </c>
      <c r="I58" s="28">
        <f t="shared" si="34"/>
        <v>0.24</v>
      </c>
      <c r="J58" s="28">
        <f t="shared" si="34"/>
        <v>0.21</v>
      </c>
      <c r="K58" s="28">
        <f t="shared" si="34"/>
        <v>0.18</v>
      </c>
      <c r="L58" s="40"/>
    </row>
    <row r="59" spans="1:14" ht="27.75" customHeight="1">
      <c r="A59" s="84" t="s">
        <v>109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</row>
    <row r="60" spans="1:14">
      <c r="A60" s="14" t="s">
        <v>26</v>
      </c>
      <c r="B60" s="15" t="s">
        <v>110</v>
      </c>
      <c r="C60" s="16" t="s">
        <v>111</v>
      </c>
      <c r="D60" s="17" t="s">
        <v>16</v>
      </c>
      <c r="E60" s="18"/>
      <c r="F60" s="19">
        <v>16</v>
      </c>
      <c r="G60" s="19">
        <v>16</v>
      </c>
      <c r="H60" s="19">
        <v>16</v>
      </c>
      <c r="I60" s="19">
        <v>16</v>
      </c>
      <c r="J60" s="19">
        <v>16</v>
      </c>
      <c r="K60" s="19">
        <v>16</v>
      </c>
      <c r="L60" s="20"/>
    </row>
    <row r="61" spans="1:14">
      <c r="A61" s="14"/>
      <c r="B61" s="21"/>
      <c r="C61" s="16" t="s">
        <v>112</v>
      </c>
      <c r="D61" s="17" t="s">
        <v>16</v>
      </c>
      <c r="E61" s="18"/>
      <c r="F61" s="19">
        <v>4</v>
      </c>
      <c r="G61" s="19">
        <v>4</v>
      </c>
      <c r="H61" s="19">
        <v>4</v>
      </c>
      <c r="I61" s="19">
        <v>4</v>
      </c>
      <c r="J61" s="19">
        <v>4</v>
      </c>
      <c r="K61" s="19">
        <v>4</v>
      </c>
      <c r="L61" s="20"/>
    </row>
    <row r="62" spans="1:14">
      <c r="A62" s="14"/>
      <c r="B62" s="15" t="s">
        <v>28</v>
      </c>
      <c r="C62" s="16" t="s">
        <v>113</v>
      </c>
      <c r="D62" s="17" t="s">
        <v>29</v>
      </c>
      <c r="E62" s="18"/>
      <c r="F62" s="37">
        <v>0.7</v>
      </c>
      <c r="G62" s="37">
        <v>0.75</v>
      </c>
      <c r="H62" s="37">
        <v>0.8</v>
      </c>
      <c r="I62" s="37">
        <v>0.82</v>
      </c>
      <c r="J62" s="37">
        <v>0.85</v>
      </c>
      <c r="K62" s="37">
        <v>0.85</v>
      </c>
      <c r="L62" s="38"/>
    </row>
    <row r="63" spans="1:14">
      <c r="A63" s="14"/>
      <c r="B63" s="21"/>
      <c r="C63" s="16" t="s">
        <v>114</v>
      </c>
      <c r="D63" s="17" t="s">
        <v>16</v>
      </c>
      <c r="E63" s="18"/>
      <c r="F63" s="19">
        <v>10</v>
      </c>
      <c r="G63" s="19">
        <v>8</v>
      </c>
      <c r="H63" s="19">
        <v>7</v>
      </c>
      <c r="I63" s="19">
        <v>5</v>
      </c>
      <c r="J63" s="19">
        <v>5</v>
      </c>
      <c r="K63" s="19">
        <v>4</v>
      </c>
      <c r="L63" s="20"/>
    </row>
    <row r="64" spans="1:14">
      <c r="A64" s="14"/>
      <c r="B64" s="15" t="s">
        <v>91</v>
      </c>
      <c r="C64" s="16" t="s">
        <v>115</v>
      </c>
      <c r="D64" s="17" t="s">
        <v>16</v>
      </c>
      <c r="E64" s="18"/>
      <c r="F64" s="22">
        <f>ROUND(F29*F60*F61*F62,0)</f>
        <v>112000</v>
      </c>
      <c r="G64" s="22">
        <f>ROUND(G29*G60*G61*G62,0)</f>
        <v>172800</v>
      </c>
      <c r="H64" s="22">
        <f>ROUND(H29*H60*H61*H62,0)</f>
        <v>268800</v>
      </c>
      <c r="I64" s="22">
        <f>ROUND(I29*I60*I61*I62,0)</f>
        <v>254528</v>
      </c>
      <c r="J64" s="22">
        <f>ROUND(J29*J60*J61*J62,0)</f>
        <v>247520</v>
      </c>
      <c r="K64" s="22">
        <f>ROUND(K29*K60*K61*K62,0)</f>
        <v>274720</v>
      </c>
      <c r="L64" s="23">
        <f>SUM(F64:K64)</f>
        <v>1330368</v>
      </c>
    </row>
    <row r="65" spans="1:12">
      <c r="A65" s="14"/>
      <c r="B65" s="21"/>
      <c r="C65" s="16" t="s">
        <v>116</v>
      </c>
      <c r="D65" s="17" t="s">
        <v>16</v>
      </c>
      <c r="E65" s="18"/>
      <c r="F65" s="22">
        <f>IF(F29=0,"-",F64/F29)</f>
        <v>44.8</v>
      </c>
      <c r="G65" s="22">
        <f>IF(G29=0,"-",G64/G29)</f>
        <v>48</v>
      </c>
      <c r="H65" s="22">
        <f>IF(H29=0,"-",H64/H29)</f>
        <v>51.2</v>
      </c>
      <c r="I65" s="22">
        <f>IF(I29=0,"-",I64/I29)</f>
        <v>52.48</v>
      </c>
      <c r="J65" s="22">
        <f>IF(J29=0,"-",J64/J29)</f>
        <v>54.4</v>
      </c>
      <c r="K65" s="22">
        <f>IF(K29=0,"-",K64/K29)</f>
        <v>54.4</v>
      </c>
      <c r="L65" s="20"/>
    </row>
    <row r="66" spans="1:12">
      <c r="A66" s="14"/>
      <c r="B66" s="21"/>
      <c r="C66" s="16" t="s">
        <v>117</v>
      </c>
      <c r="D66" s="17" t="s">
        <v>16</v>
      </c>
      <c r="E66" s="18"/>
      <c r="F66" s="22">
        <f t="shared" ref="F66:K66" si="35">IF(F63=0,"-",ROUND(F64/F63,0))</f>
        <v>11200</v>
      </c>
      <c r="G66" s="22">
        <f t="shared" si="35"/>
        <v>21600</v>
      </c>
      <c r="H66" s="22">
        <f t="shared" si="35"/>
        <v>38400</v>
      </c>
      <c r="I66" s="22">
        <f t="shared" si="35"/>
        <v>50906</v>
      </c>
      <c r="J66" s="22">
        <f t="shared" si="35"/>
        <v>49504</v>
      </c>
      <c r="K66" s="22">
        <f t="shared" si="35"/>
        <v>68680</v>
      </c>
      <c r="L66" s="23">
        <f>SUM(F66:K66)</f>
        <v>240290</v>
      </c>
    </row>
    <row r="67" spans="1:12">
      <c r="A67" s="14"/>
      <c r="B67" s="21"/>
      <c r="C67" s="16" t="s">
        <v>118</v>
      </c>
      <c r="D67" s="17" t="s">
        <v>29</v>
      </c>
      <c r="E67" s="18"/>
      <c r="F67" s="41">
        <f>IF(F51=0,"-",F66/F51)</f>
        <v>0.93333333333333335</v>
      </c>
      <c r="G67" s="41">
        <f>IF(G51=0,"-",G66/G51)</f>
        <v>0.86399999999999999</v>
      </c>
      <c r="H67" s="41">
        <f>IF(H51=0,"-",H66/H51)</f>
        <v>0.76800000000000002</v>
      </c>
      <c r="I67" s="41">
        <f>IF(I51=0,"-",I66/I51)</f>
        <v>0.50905999999999996</v>
      </c>
      <c r="J67" s="41">
        <f>IF(J51=0,"-",J66/J51)</f>
        <v>0.24751999999999999</v>
      </c>
      <c r="K67" s="41">
        <f>IF(K51=0,"-",K66/K51)</f>
        <v>0.17169999999999999</v>
      </c>
      <c r="L67" s="38"/>
    </row>
    <row r="68" spans="1:12">
      <c r="A68" s="14"/>
      <c r="B68" s="15" t="s">
        <v>119</v>
      </c>
      <c r="C68" s="16" t="s">
        <v>120</v>
      </c>
      <c r="D68" s="17" t="s">
        <v>54</v>
      </c>
      <c r="E68" s="18" t="s">
        <v>121</v>
      </c>
      <c r="F68" s="24">
        <v>100</v>
      </c>
      <c r="G68" s="24">
        <v>100</v>
      </c>
      <c r="H68" s="24">
        <v>100</v>
      </c>
      <c r="I68" s="24">
        <v>100</v>
      </c>
      <c r="J68" s="24">
        <v>100</v>
      </c>
      <c r="K68" s="24">
        <v>100</v>
      </c>
      <c r="L68" s="25"/>
    </row>
    <row r="69" spans="1:12">
      <c r="A69" s="14"/>
      <c r="B69" s="21"/>
      <c r="C69" s="16" t="s">
        <v>122</v>
      </c>
      <c r="D69" s="17" t="s">
        <v>54</v>
      </c>
      <c r="E69" s="18"/>
      <c r="F69" s="26">
        <f>IF(F64=0,"-",F46/F64)</f>
        <v>4.4642857142857144</v>
      </c>
      <c r="G69" s="26">
        <f>IF(G64=0,"-",G46/G64)</f>
        <v>6.0040509259259256</v>
      </c>
      <c r="H69" s="26">
        <f>IF(H64=0,"-",H46/H64)</f>
        <v>4.2457217261904763</v>
      </c>
      <c r="I69" s="26">
        <f>IF(I64=0,"-",I46/I64)</f>
        <v>5.3039351269801358</v>
      </c>
      <c r="J69" s="26">
        <f>IF(J64=0,"-",J46/J64)</f>
        <v>6.08536683904331</v>
      </c>
      <c r="K69" s="26">
        <f>IF(K64=0,"-",K46/K64)</f>
        <v>5.7786109493302273</v>
      </c>
      <c r="L69" s="25"/>
    </row>
    <row r="70" spans="1:12" ht="27.75" customHeight="1">
      <c r="A70" s="85" t="s">
        <v>123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</row>
    <row r="71" spans="1:12">
      <c r="A71" s="14" t="s">
        <v>124</v>
      </c>
      <c r="B71" s="15" t="s">
        <v>125</v>
      </c>
      <c r="C71" s="16" t="s">
        <v>126</v>
      </c>
      <c r="D71" s="17" t="s">
        <v>19</v>
      </c>
      <c r="E71" s="18" t="s">
        <v>45</v>
      </c>
      <c r="F71" s="28">
        <f t="shared" ref="F71:K71" si="36">F37</f>
        <v>15722.222222222223</v>
      </c>
      <c r="G71" s="28">
        <f t="shared" si="36"/>
        <v>19333.333333333332</v>
      </c>
      <c r="H71" s="28">
        <f t="shared" si="36"/>
        <v>23500</v>
      </c>
      <c r="I71" s="28">
        <f t="shared" si="36"/>
        <v>16222.222222222223</v>
      </c>
      <c r="J71" s="28">
        <f t="shared" si="36"/>
        <v>18666.666666666664</v>
      </c>
      <c r="K71" s="28">
        <f t="shared" si="36"/>
        <v>21111.111111111109</v>
      </c>
      <c r="L71" s="29">
        <f t="shared" ref="L71:L85" si="37">SUM(F71:K71)</f>
        <v>114555.55555555555</v>
      </c>
    </row>
    <row r="72" spans="1:12">
      <c r="A72" s="14"/>
      <c r="B72" s="15" t="s">
        <v>127</v>
      </c>
      <c r="C72" s="16" t="s">
        <v>128</v>
      </c>
      <c r="D72" s="17" t="s">
        <v>19</v>
      </c>
      <c r="E72" s="18" t="s">
        <v>45</v>
      </c>
      <c r="F72" s="39">
        <v>0</v>
      </c>
      <c r="G72" s="39">
        <v>0</v>
      </c>
      <c r="H72" s="39">
        <v>5000</v>
      </c>
      <c r="I72" s="39">
        <v>5000</v>
      </c>
      <c r="J72" s="39">
        <v>5000</v>
      </c>
      <c r="K72" s="39">
        <v>5000</v>
      </c>
      <c r="L72" s="29">
        <f t="shared" si="37"/>
        <v>20000</v>
      </c>
    </row>
    <row r="73" spans="1:12">
      <c r="A73" s="14"/>
      <c r="B73" s="15" t="s">
        <v>129</v>
      </c>
      <c r="C73" s="16" t="s">
        <v>130</v>
      </c>
      <c r="D73" s="17" t="s">
        <v>19</v>
      </c>
      <c r="E73" s="18" t="s">
        <v>45</v>
      </c>
      <c r="F73" s="28">
        <f t="shared" ref="F73:K73" si="38">F47</f>
        <v>5555.5555555555557</v>
      </c>
      <c r="G73" s="28">
        <f t="shared" si="38"/>
        <v>11527.777777777777</v>
      </c>
      <c r="H73" s="28">
        <f t="shared" si="38"/>
        <v>12680.555555555555</v>
      </c>
      <c r="I73" s="28">
        <f t="shared" si="38"/>
        <v>15000</v>
      </c>
      <c r="J73" s="28">
        <f t="shared" si="38"/>
        <v>16736.111111111109</v>
      </c>
      <c r="K73" s="28">
        <f t="shared" si="38"/>
        <v>17638.888888888891</v>
      </c>
      <c r="L73" s="29">
        <f t="shared" si="37"/>
        <v>79138.888888888891</v>
      </c>
    </row>
    <row r="74" spans="1:12">
      <c r="A74" s="14"/>
      <c r="B74" s="15" t="s">
        <v>131</v>
      </c>
      <c r="C74" s="16" t="s">
        <v>132</v>
      </c>
      <c r="D74" s="17" t="s">
        <v>19</v>
      </c>
      <c r="E74" s="18" t="s">
        <v>133</v>
      </c>
      <c r="F74" s="39">
        <v>0</v>
      </c>
      <c r="G74" s="39">
        <v>5000</v>
      </c>
      <c r="H74" s="39">
        <v>8000</v>
      </c>
      <c r="I74" s="39">
        <v>10000</v>
      </c>
      <c r="J74" s="39">
        <v>12000</v>
      </c>
      <c r="K74" s="39">
        <v>15000</v>
      </c>
      <c r="L74" s="29">
        <f t="shared" si="37"/>
        <v>50000</v>
      </c>
    </row>
    <row r="75" spans="1:12">
      <c r="A75" s="14"/>
      <c r="B75" s="15" t="s">
        <v>134</v>
      </c>
      <c r="C75" s="16" t="s">
        <v>135</v>
      </c>
      <c r="D75" s="17" t="s">
        <v>19</v>
      </c>
      <c r="E75" s="18" t="s">
        <v>133</v>
      </c>
      <c r="F75" s="39">
        <v>0</v>
      </c>
      <c r="G75" s="39">
        <v>5000</v>
      </c>
      <c r="H75" s="39">
        <v>8000</v>
      </c>
      <c r="I75" s="39">
        <v>10000</v>
      </c>
      <c r="J75" s="39">
        <v>12000</v>
      </c>
      <c r="K75" s="39">
        <v>15000</v>
      </c>
      <c r="L75" s="29">
        <f t="shared" si="37"/>
        <v>50000</v>
      </c>
    </row>
    <row r="76" spans="1:12">
      <c r="A76" s="14"/>
      <c r="B76" s="15" t="s">
        <v>136</v>
      </c>
      <c r="C76" s="16" t="s">
        <v>137</v>
      </c>
      <c r="D76" s="17" t="s">
        <v>19</v>
      </c>
      <c r="E76" s="18" t="s">
        <v>45</v>
      </c>
      <c r="F76" s="39">
        <v>1000</v>
      </c>
      <c r="G76" s="39">
        <v>1500</v>
      </c>
      <c r="H76" s="39">
        <v>2000</v>
      </c>
      <c r="I76" s="39">
        <v>2000</v>
      </c>
      <c r="J76" s="39">
        <v>2000</v>
      </c>
      <c r="K76" s="39">
        <v>2000</v>
      </c>
      <c r="L76" s="29">
        <f t="shared" si="37"/>
        <v>10500</v>
      </c>
    </row>
    <row r="77" spans="1:12">
      <c r="A77" s="14"/>
      <c r="B77" s="15" t="s">
        <v>138</v>
      </c>
      <c r="C77" s="16" t="s">
        <v>139</v>
      </c>
      <c r="D77" s="17" t="s">
        <v>19</v>
      </c>
      <c r="E77" s="18" t="s">
        <v>45</v>
      </c>
      <c r="F77" s="39">
        <v>5000</v>
      </c>
      <c r="G77" s="39">
        <v>3000</v>
      </c>
      <c r="H77" s="39">
        <v>2000</v>
      </c>
      <c r="I77" s="39">
        <v>5000</v>
      </c>
      <c r="J77" s="39">
        <v>3000</v>
      </c>
      <c r="K77" s="39">
        <v>2000</v>
      </c>
      <c r="L77" s="29">
        <f t="shared" si="37"/>
        <v>20000</v>
      </c>
    </row>
    <row r="78" spans="1:12">
      <c r="A78" s="14"/>
      <c r="B78" s="15" t="s">
        <v>140</v>
      </c>
      <c r="C78" s="16" t="s">
        <v>141</v>
      </c>
      <c r="D78" s="17" t="s">
        <v>19</v>
      </c>
      <c r="E78" s="18" t="s">
        <v>133</v>
      </c>
      <c r="F78" s="39">
        <v>0</v>
      </c>
      <c r="G78" s="39">
        <v>0</v>
      </c>
      <c r="H78" s="39">
        <v>2000</v>
      </c>
      <c r="I78" s="39">
        <v>3000</v>
      </c>
      <c r="J78" s="39">
        <v>3000</v>
      </c>
      <c r="K78" s="39">
        <v>3000</v>
      </c>
      <c r="L78" s="29">
        <f t="shared" si="37"/>
        <v>11000</v>
      </c>
    </row>
    <row r="79" spans="1:12">
      <c r="A79" s="14" t="s">
        <v>142</v>
      </c>
      <c r="B79" s="15" t="s">
        <v>143</v>
      </c>
      <c r="C79" s="16" t="s">
        <v>144</v>
      </c>
      <c r="D79" s="17" t="s">
        <v>19</v>
      </c>
      <c r="E79" s="18" t="s">
        <v>145</v>
      </c>
      <c r="F79" s="39">
        <v>2000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29">
        <f t="shared" si="37"/>
        <v>2000</v>
      </c>
    </row>
    <row r="80" spans="1:12">
      <c r="A80" s="14"/>
      <c r="B80" s="15" t="s">
        <v>146</v>
      </c>
      <c r="C80" s="16" t="s">
        <v>147</v>
      </c>
      <c r="D80" s="17" t="s">
        <v>19</v>
      </c>
      <c r="E80" s="18"/>
      <c r="F80" s="28">
        <f t="shared" ref="F80:K80" si="39">F71+F73</f>
        <v>21277.777777777777</v>
      </c>
      <c r="G80" s="28">
        <f t="shared" si="39"/>
        <v>30861.111111111109</v>
      </c>
      <c r="H80" s="28">
        <f t="shared" si="39"/>
        <v>36180.555555555555</v>
      </c>
      <c r="I80" s="28">
        <f t="shared" si="39"/>
        <v>31222.222222222223</v>
      </c>
      <c r="J80" s="28">
        <f t="shared" si="39"/>
        <v>35402.777777777774</v>
      </c>
      <c r="K80" s="28">
        <f t="shared" si="39"/>
        <v>38750</v>
      </c>
      <c r="L80" s="29">
        <f t="shared" si="37"/>
        <v>193694.44444444444</v>
      </c>
    </row>
    <row r="81" spans="1:12">
      <c r="A81" s="14"/>
      <c r="B81" s="21"/>
      <c r="C81" s="16" t="s">
        <v>148</v>
      </c>
      <c r="D81" s="17" t="s">
        <v>19</v>
      </c>
      <c r="E81" s="18"/>
      <c r="F81" s="28">
        <f t="shared" ref="F81:K81" si="40">F57</f>
        <v>240</v>
      </c>
      <c r="G81" s="28">
        <f t="shared" si="40"/>
        <v>2500</v>
      </c>
      <c r="H81" s="28">
        <f t="shared" si="40"/>
        <v>11250</v>
      </c>
      <c r="I81" s="28">
        <f t="shared" si="40"/>
        <v>24000</v>
      </c>
      <c r="J81" s="28">
        <f t="shared" si="40"/>
        <v>42000</v>
      </c>
      <c r="K81" s="28">
        <f t="shared" si="40"/>
        <v>72000</v>
      </c>
      <c r="L81" s="29">
        <f t="shared" si="37"/>
        <v>151990</v>
      </c>
    </row>
    <row r="82" spans="1:12">
      <c r="A82" s="14"/>
      <c r="B82" s="21"/>
      <c r="C82" s="16" t="s">
        <v>149</v>
      </c>
      <c r="D82" s="17" t="s">
        <v>19</v>
      </c>
      <c r="E82" s="18"/>
      <c r="F82" s="28">
        <f t="shared" ref="F82:K82" si="41">F72+F74+F75+F76+F77+F78+F79</f>
        <v>8000</v>
      </c>
      <c r="G82" s="28">
        <f t="shared" si="41"/>
        <v>14500</v>
      </c>
      <c r="H82" s="28">
        <f t="shared" si="41"/>
        <v>27000</v>
      </c>
      <c r="I82" s="28">
        <f t="shared" si="41"/>
        <v>35000</v>
      </c>
      <c r="J82" s="28">
        <f t="shared" si="41"/>
        <v>37000</v>
      </c>
      <c r="K82" s="28">
        <f t="shared" si="41"/>
        <v>42000</v>
      </c>
      <c r="L82" s="29">
        <f t="shared" si="37"/>
        <v>163500</v>
      </c>
    </row>
    <row r="83" spans="1:12">
      <c r="A83" s="30"/>
      <c r="B83" s="31"/>
      <c r="C83" s="32" t="s">
        <v>150</v>
      </c>
      <c r="D83" s="33" t="s">
        <v>19</v>
      </c>
      <c r="E83" s="34"/>
      <c r="F83" s="35">
        <f t="shared" ref="F83:K83" si="42">F80+F81+F82</f>
        <v>29517.777777777777</v>
      </c>
      <c r="G83" s="35">
        <f t="shared" si="42"/>
        <v>47861.111111111109</v>
      </c>
      <c r="H83" s="35">
        <f t="shared" si="42"/>
        <v>74430.555555555562</v>
      </c>
      <c r="I83" s="35">
        <f t="shared" si="42"/>
        <v>90222.222222222219</v>
      </c>
      <c r="J83" s="35">
        <f t="shared" si="42"/>
        <v>114402.77777777778</v>
      </c>
      <c r="K83" s="35">
        <f t="shared" si="42"/>
        <v>152750</v>
      </c>
      <c r="L83" s="36">
        <f t="shared" si="37"/>
        <v>509184.44444444444</v>
      </c>
    </row>
    <row r="84" spans="1:12">
      <c r="A84" s="14"/>
      <c r="B84" s="15" t="s">
        <v>151</v>
      </c>
      <c r="C84" s="16" t="s">
        <v>152</v>
      </c>
      <c r="D84" s="17" t="s">
        <v>19</v>
      </c>
      <c r="E84" s="18" t="s">
        <v>153</v>
      </c>
      <c r="F84" s="39">
        <v>17387</v>
      </c>
      <c r="G84" s="39">
        <v>25000</v>
      </c>
      <c r="H84" s="39">
        <v>39441</v>
      </c>
      <c r="I84" s="39">
        <v>55000</v>
      </c>
      <c r="J84" s="39">
        <v>65000</v>
      </c>
      <c r="K84" s="39">
        <v>73322</v>
      </c>
      <c r="L84" s="29">
        <f t="shared" si="37"/>
        <v>275150</v>
      </c>
    </row>
    <row r="85" spans="1:12">
      <c r="A85" s="14"/>
      <c r="B85" s="21"/>
      <c r="C85" s="16" t="s">
        <v>154</v>
      </c>
      <c r="D85" s="17" t="s">
        <v>19</v>
      </c>
      <c r="E85" s="18"/>
      <c r="F85" s="28">
        <f t="shared" ref="F85:K85" si="43">F84-F83</f>
        <v>-12130.777777777777</v>
      </c>
      <c r="G85" s="28">
        <f t="shared" si="43"/>
        <v>-22861.111111111109</v>
      </c>
      <c r="H85" s="28">
        <f t="shared" si="43"/>
        <v>-34989.555555555562</v>
      </c>
      <c r="I85" s="28">
        <f t="shared" si="43"/>
        <v>-35222.222222222219</v>
      </c>
      <c r="J85" s="28">
        <f t="shared" si="43"/>
        <v>-49402.777777777781</v>
      </c>
      <c r="K85" s="28">
        <f t="shared" si="43"/>
        <v>-79428</v>
      </c>
      <c r="L85" s="29">
        <f t="shared" si="37"/>
        <v>-234034.44444444444</v>
      </c>
    </row>
    <row r="86" spans="1:12" ht="27.75" customHeight="1">
      <c r="A86" s="86" t="s">
        <v>155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</row>
    <row r="87" spans="1:12">
      <c r="A87" s="14" t="s">
        <v>31</v>
      </c>
      <c r="B87" s="15" t="s">
        <v>32</v>
      </c>
      <c r="C87" s="16" t="s">
        <v>156</v>
      </c>
      <c r="D87" s="17" t="s">
        <v>16</v>
      </c>
      <c r="E87" s="18"/>
      <c r="F87" s="19">
        <v>10</v>
      </c>
      <c r="G87" s="19">
        <v>12</v>
      </c>
      <c r="H87" s="19">
        <v>15</v>
      </c>
      <c r="I87" s="19">
        <v>18</v>
      </c>
      <c r="J87" s="19">
        <v>20</v>
      </c>
      <c r="K87" s="19">
        <v>20</v>
      </c>
      <c r="L87" s="20"/>
    </row>
    <row r="88" spans="1:12">
      <c r="A88" s="14"/>
      <c r="B88" s="21"/>
      <c r="C88" s="16" t="s">
        <v>157</v>
      </c>
      <c r="D88" s="17" t="s">
        <v>16</v>
      </c>
      <c r="E88" s="18"/>
      <c r="F88" s="19">
        <v>1</v>
      </c>
      <c r="G88" s="19">
        <v>1</v>
      </c>
      <c r="H88" s="19">
        <v>2</v>
      </c>
      <c r="I88" s="19">
        <v>2</v>
      </c>
      <c r="J88" s="19">
        <v>3</v>
      </c>
      <c r="K88" s="19">
        <v>3</v>
      </c>
      <c r="L88" s="20"/>
    </row>
    <row r="89" spans="1:12">
      <c r="A89" s="14"/>
      <c r="B89" s="21"/>
      <c r="C89" s="16" t="s">
        <v>158</v>
      </c>
      <c r="D89" s="17" t="s">
        <v>16</v>
      </c>
      <c r="E89" s="18"/>
      <c r="F89" s="19">
        <v>0</v>
      </c>
      <c r="G89" s="19">
        <v>1</v>
      </c>
      <c r="H89" s="19">
        <v>1</v>
      </c>
      <c r="I89" s="19">
        <v>1</v>
      </c>
      <c r="J89" s="19">
        <v>2</v>
      </c>
      <c r="K89" s="19">
        <v>2</v>
      </c>
      <c r="L89" s="20"/>
    </row>
    <row r="90" spans="1:12">
      <c r="A90" s="14"/>
      <c r="B90" s="21"/>
      <c r="C90" s="16" t="s">
        <v>159</v>
      </c>
      <c r="D90" s="17" t="s">
        <v>19</v>
      </c>
      <c r="E90" s="18"/>
      <c r="F90" s="70">
        <v>0.15</v>
      </c>
      <c r="G90" s="70">
        <v>0.15</v>
      </c>
      <c r="H90" s="70">
        <v>0.18</v>
      </c>
      <c r="I90" s="70">
        <v>0.18</v>
      </c>
      <c r="J90" s="70">
        <v>0.2</v>
      </c>
      <c r="K90" s="70">
        <v>0.2</v>
      </c>
      <c r="L90" s="40"/>
    </row>
    <row r="91" spans="1:12">
      <c r="A91" s="14"/>
      <c r="B91" s="21"/>
      <c r="C91" s="16" t="s">
        <v>160</v>
      </c>
      <c r="D91" s="17" t="s">
        <v>19</v>
      </c>
      <c r="E91" s="18"/>
      <c r="F91" s="70">
        <v>0.3</v>
      </c>
      <c r="G91" s="70">
        <v>0.3</v>
      </c>
      <c r="H91" s="70">
        <v>0.35</v>
      </c>
      <c r="I91" s="70">
        <v>0.35</v>
      </c>
      <c r="J91" s="70">
        <v>0.4</v>
      </c>
      <c r="K91" s="70">
        <v>0.4</v>
      </c>
      <c r="L91" s="40"/>
    </row>
    <row r="92" spans="1:12">
      <c r="A92" s="14"/>
      <c r="B92" s="21"/>
      <c r="C92" s="16" t="s">
        <v>161</v>
      </c>
      <c r="D92" s="17" t="s">
        <v>19</v>
      </c>
      <c r="E92" s="18"/>
      <c r="F92" s="70">
        <v>1.5</v>
      </c>
      <c r="G92" s="70">
        <v>1.5</v>
      </c>
      <c r="H92" s="70">
        <v>1.8</v>
      </c>
      <c r="I92" s="70">
        <v>1.8</v>
      </c>
      <c r="J92" s="70">
        <v>2</v>
      </c>
      <c r="K92" s="70">
        <v>2</v>
      </c>
      <c r="L92" s="40"/>
    </row>
    <row r="93" spans="1:12">
      <c r="A93" s="14"/>
      <c r="B93" s="21"/>
      <c r="C93" s="16" t="s">
        <v>162</v>
      </c>
      <c r="D93" s="17" t="s">
        <v>29</v>
      </c>
      <c r="E93" s="18"/>
      <c r="F93" s="37">
        <v>0.5</v>
      </c>
      <c r="G93" s="37">
        <v>0.55000000000000004</v>
      </c>
      <c r="H93" s="37">
        <v>0.6</v>
      </c>
      <c r="I93" s="37">
        <v>0.65</v>
      </c>
      <c r="J93" s="37">
        <v>0.7</v>
      </c>
      <c r="K93" s="37">
        <v>0.7</v>
      </c>
      <c r="L93" s="38"/>
    </row>
    <row r="94" spans="1:12">
      <c r="A94" s="14"/>
      <c r="B94" s="21"/>
      <c r="C94" s="16" t="s">
        <v>163</v>
      </c>
      <c r="D94" s="17" t="s">
        <v>19</v>
      </c>
      <c r="E94" s="18"/>
      <c r="F94" s="28">
        <f>ROUND(F53*(F87*F90+F88*F91+F89*F92)/1000*F93*30,0)</f>
        <v>49</v>
      </c>
      <c r="G94" s="28">
        <f>ROUND(G53*(G87*G90+G88*G91+G89*G92)/1000*G93*30,0)</f>
        <v>238</v>
      </c>
      <c r="H94" s="28">
        <f>ROUND(H53*(H87*H90+H88*H91+H89*H92)/1000*H93*30,0)</f>
        <v>796</v>
      </c>
      <c r="I94" s="28">
        <f>ROUND(I53*(I87*I90+I88*I91+I89*I92)/1000*I93*30,0)</f>
        <v>2015</v>
      </c>
      <c r="J94" s="28">
        <f>ROUND(J53*(J87*J90+J88*J91+J89*J92)/1000*J93*30,0)</f>
        <v>7342</v>
      </c>
      <c r="K94" s="28">
        <f>ROUND(K53*(K87*K90+K88*K91+K89*K92)/1000*K93*30,0)</f>
        <v>15456</v>
      </c>
      <c r="L94" s="29">
        <f>SUM(F94:K94)</f>
        <v>25896</v>
      </c>
    </row>
    <row r="95" spans="1:12">
      <c r="A95" s="14"/>
      <c r="B95" s="15" t="s">
        <v>164</v>
      </c>
      <c r="C95" s="16" t="s">
        <v>165</v>
      </c>
      <c r="D95" s="17" t="s">
        <v>16</v>
      </c>
      <c r="E95" s="18" t="s">
        <v>133</v>
      </c>
      <c r="F95" s="19">
        <v>0</v>
      </c>
      <c r="G95" s="19">
        <v>0</v>
      </c>
      <c r="H95" s="19">
        <v>1</v>
      </c>
      <c r="I95" s="19">
        <v>2</v>
      </c>
      <c r="J95" s="19">
        <v>3</v>
      </c>
      <c r="K95" s="19">
        <v>5</v>
      </c>
      <c r="L95" s="20"/>
    </row>
    <row r="96" spans="1:12">
      <c r="A96" s="14"/>
      <c r="B96" s="21"/>
      <c r="C96" s="16" t="s">
        <v>166</v>
      </c>
      <c r="D96" s="17" t="s">
        <v>19</v>
      </c>
      <c r="E96" s="18"/>
      <c r="F96" s="39">
        <v>0</v>
      </c>
      <c r="G96" s="39">
        <v>0</v>
      </c>
      <c r="H96" s="39">
        <v>5000</v>
      </c>
      <c r="I96" s="39">
        <v>5000</v>
      </c>
      <c r="J96" s="39">
        <v>5000</v>
      </c>
      <c r="K96" s="39">
        <v>5000</v>
      </c>
      <c r="L96" s="40"/>
    </row>
    <row r="97" spans="1:12">
      <c r="A97" s="14"/>
      <c r="B97" s="21"/>
      <c r="C97" s="16" t="s">
        <v>167</v>
      </c>
      <c r="D97" s="17" t="s">
        <v>19</v>
      </c>
      <c r="E97" s="18"/>
      <c r="F97" s="28">
        <f t="shared" ref="F97:K97" si="44">F95*F96</f>
        <v>0</v>
      </c>
      <c r="G97" s="28">
        <f t="shared" si="44"/>
        <v>0</v>
      </c>
      <c r="H97" s="28">
        <f t="shared" si="44"/>
        <v>5000</v>
      </c>
      <c r="I97" s="28">
        <f t="shared" si="44"/>
        <v>10000</v>
      </c>
      <c r="J97" s="28">
        <f t="shared" si="44"/>
        <v>15000</v>
      </c>
      <c r="K97" s="28">
        <f t="shared" si="44"/>
        <v>25000</v>
      </c>
      <c r="L97" s="29">
        <f>SUM(F97:K97)</f>
        <v>55000</v>
      </c>
    </row>
    <row r="98" spans="1:12">
      <c r="A98" s="14"/>
      <c r="B98" s="15" t="s">
        <v>168</v>
      </c>
      <c r="C98" s="16" t="s">
        <v>169</v>
      </c>
      <c r="D98" s="17" t="s">
        <v>19</v>
      </c>
      <c r="E98" s="18" t="s">
        <v>133</v>
      </c>
      <c r="F98" s="39">
        <v>0</v>
      </c>
      <c r="G98" s="39">
        <v>0</v>
      </c>
      <c r="H98" s="39">
        <v>0</v>
      </c>
      <c r="I98" s="39">
        <v>0</v>
      </c>
      <c r="J98" s="39">
        <v>500</v>
      </c>
      <c r="K98" s="39">
        <v>2000</v>
      </c>
      <c r="L98" s="29">
        <f>SUM(F98:K98)</f>
        <v>2500</v>
      </c>
    </row>
    <row r="99" spans="1:12">
      <c r="A99" s="42"/>
      <c r="B99" s="43"/>
      <c r="C99" s="44" t="s">
        <v>170</v>
      </c>
      <c r="D99" s="45" t="s">
        <v>19</v>
      </c>
      <c r="E99" s="46"/>
      <c r="F99" s="47">
        <f t="shared" ref="F99:K99" si="45">F94+F97+F98</f>
        <v>49</v>
      </c>
      <c r="G99" s="47">
        <f t="shared" si="45"/>
        <v>238</v>
      </c>
      <c r="H99" s="47">
        <f t="shared" si="45"/>
        <v>5796</v>
      </c>
      <c r="I99" s="47">
        <f t="shared" si="45"/>
        <v>12015</v>
      </c>
      <c r="J99" s="47">
        <f t="shared" si="45"/>
        <v>22842</v>
      </c>
      <c r="K99" s="47">
        <f t="shared" si="45"/>
        <v>42456</v>
      </c>
      <c r="L99" s="48">
        <f>SUM(F99:K99)</f>
        <v>83396</v>
      </c>
    </row>
    <row r="100" spans="1:12" ht="27.75" customHeight="1">
      <c r="A100" s="87" t="s">
        <v>171</v>
      </c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</row>
    <row r="101" spans="1:12">
      <c r="A101" s="14" t="s">
        <v>172</v>
      </c>
      <c r="B101" s="15" t="s">
        <v>173</v>
      </c>
      <c r="C101" s="16" t="s">
        <v>174</v>
      </c>
      <c r="D101" s="17" t="s">
        <v>19</v>
      </c>
      <c r="E101" s="18"/>
      <c r="F101" s="71">
        <f>IF(F51=0,"-",F83/F51)</f>
        <v>2.4598148148148149</v>
      </c>
      <c r="G101" s="71">
        <f>IF(G51=0,"-",G83/G51)</f>
        <v>1.9144444444444444</v>
      </c>
      <c r="H101" s="71">
        <f>IF(H51=0,"-",H83/H51)</f>
        <v>1.4886111111111113</v>
      </c>
      <c r="I101" s="71">
        <f>IF(I51=0,"-",I83/I51)</f>
        <v>0.90222222222222215</v>
      </c>
      <c r="J101" s="71">
        <f>IF(J51=0,"-",J83/J51)</f>
        <v>0.57201388888888893</v>
      </c>
      <c r="K101" s="71">
        <f>IF(K51=0,"-",K83/K51)</f>
        <v>0.38187500000000002</v>
      </c>
      <c r="L101" s="40"/>
    </row>
    <row r="102" spans="1:12">
      <c r="A102" s="14"/>
      <c r="B102" s="21"/>
      <c r="C102" s="16" t="s">
        <v>175</v>
      </c>
      <c r="D102" s="17" t="s">
        <v>19</v>
      </c>
      <c r="E102" s="18"/>
      <c r="F102" s="71">
        <f>IF(F25=0,"-",F80/F25)</f>
        <v>85.111111111111114</v>
      </c>
      <c r="G102" s="71">
        <f>IF(G25=0,"-",G80/G25)</f>
        <v>102.87037037037037</v>
      </c>
      <c r="H102" s="71">
        <f>IF(H25=0,"-",H80/H25)</f>
        <v>103.37301587301587</v>
      </c>
      <c r="I102" s="71">
        <f>IF(I25=0,"-",I80/I25)</f>
        <v>78.055555555555557</v>
      </c>
      <c r="J102" s="71">
        <f>IF(J25=0,"-",J80/J25)</f>
        <v>78.672839506172835</v>
      </c>
      <c r="K102" s="71">
        <f>IF(K25=0,"-",K80/K25)</f>
        <v>77.5</v>
      </c>
      <c r="L102" s="40"/>
    </row>
    <row r="103" spans="1:12">
      <c r="A103" s="14"/>
      <c r="B103" s="21"/>
      <c r="C103" s="16" t="s">
        <v>176</v>
      </c>
      <c r="D103" s="17" t="s">
        <v>19</v>
      </c>
      <c r="E103" s="18"/>
      <c r="F103" s="72">
        <f>IF(F55=0,"-",F81/F55)</f>
        <v>0.2</v>
      </c>
      <c r="G103" s="72">
        <f>IF(G55=0,"-",G81/G55)</f>
        <v>0.5</v>
      </c>
      <c r="H103" s="72">
        <f>IF(H55=0,"-",H81/H55)</f>
        <v>0.9</v>
      </c>
      <c r="I103" s="72">
        <f>IF(I55=0,"-",I81/I55)</f>
        <v>0.8</v>
      </c>
      <c r="J103" s="72">
        <f>IF(J55=0,"-",J81/J55)</f>
        <v>0.7</v>
      </c>
      <c r="K103" s="72">
        <f>IF(K55=0,"-",K81/K55)</f>
        <v>0.6</v>
      </c>
      <c r="L103" s="40"/>
    </row>
    <row r="104" spans="1:12">
      <c r="A104" s="14"/>
      <c r="B104" s="15" t="s">
        <v>177</v>
      </c>
      <c r="C104" s="16" t="s">
        <v>178</v>
      </c>
      <c r="D104" s="17" t="s">
        <v>38</v>
      </c>
      <c r="E104" s="18"/>
      <c r="F104" s="49">
        <f t="shared" ref="F104:K104" si="46">IF(F83=0,"-",F99/F83)</f>
        <v>1.6600165625235263E-3</v>
      </c>
      <c r="G104" s="49">
        <f t="shared" si="46"/>
        <v>4.9727219965177019E-3</v>
      </c>
      <c r="H104" s="49">
        <f t="shared" si="46"/>
        <v>7.7871244635193126E-2</v>
      </c>
      <c r="I104" s="49">
        <f t="shared" si="46"/>
        <v>0.13317118226600985</v>
      </c>
      <c r="J104" s="49">
        <f t="shared" si="46"/>
        <v>0.19966298409615152</v>
      </c>
      <c r="K104" s="49">
        <f t="shared" si="46"/>
        <v>0.27794435351882163</v>
      </c>
      <c r="L104" s="50"/>
    </row>
    <row r="105" spans="1:12">
      <c r="A105" s="14"/>
      <c r="B105" s="21"/>
      <c r="C105" s="16" t="s">
        <v>179</v>
      </c>
      <c r="D105" s="17" t="s">
        <v>19</v>
      </c>
      <c r="E105" s="18"/>
      <c r="F105" s="71">
        <f>IF(F51=0,"-",F99/F51)</f>
        <v>4.0833333333333329E-3</v>
      </c>
      <c r="G105" s="71">
        <f>IF(G51=0,"-",G99/G51)</f>
        <v>9.5200000000000007E-3</v>
      </c>
      <c r="H105" s="71">
        <f>IF(H51=0,"-",H99/H51)</f>
        <v>0.11592</v>
      </c>
      <c r="I105" s="71">
        <f>IF(I51=0,"-",I99/I51)</f>
        <v>0.12015000000000001</v>
      </c>
      <c r="J105" s="71">
        <f>IF(J51=0,"-",J99/J51)</f>
        <v>0.11421000000000001</v>
      </c>
      <c r="K105" s="71">
        <f>IF(K51=0,"-",K99/K51)</f>
        <v>0.10614</v>
      </c>
      <c r="L105" s="40"/>
    </row>
    <row r="106" spans="1:12">
      <c r="A106" s="14"/>
      <c r="B106" s="21"/>
      <c r="C106" s="16" t="s">
        <v>180</v>
      </c>
      <c r="D106" s="17" t="s">
        <v>19</v>
      </c>
      <c r="E106" s="18"/>
      <c r="F106" s="71">
        <f>IF(F29=0,"-",F83/F29)</f>
        <v>11.80711111111111</v>
      </c>
      <c r="G106" s="71">
        <f>IF(G29=0,"-",G83/G29)</f>
        <v>13.294753086419753</v>
      </c>
      <c r="H106" s="71">
        <f>IF(H29=0,"-",H83/H29)</f>
        <v>14.177248677248679</v>
      </c>
      <c r="I106" s="71">
        <f>IF(I29=0,"-",I83/I29)</f>
        <v>18.602520045819013</v>
      </c>
      <c r="J106" s="71">
        <f>IF(J29=0,"-",J83/J29)</f>
        <v>25.143467643467645</v>
      </c>
      <c r="K106" s="71">
        <f>IF(K29=0,"-",K83/K29)</f>
        <v>30.247524752475247</v>
      </c>
      <c r="L106" s="40"/>
    </row>
    <row r="107" spans="1:12">
      <c r="A107" s="14"/>
      <c r="B107" s="21"/>
      <c r="C107" s="16" t="s">
        <v>181</v>
      </c>
      <c r="D107" s="17" t="s">
        <v>19</v>
      </c>
      <c r="E107" s="18"/>
      <c r="F107" s="71">
        <f>IF(F29=0,"-",F99/F29)</f>
        <v>1.9599999999999999E-2</v>
      </c>
      <c r="G107" s="71">
        <f>IF(G29=0,"-",G99/G29)</f>
        <v>6.6111111111111107E-2</v>
      </c>
      <c r="H107" s="71">
        <f>IF(H29=0,"-",H99/H29)</f>
        <v>1.1040000000000001</v>
      </c>
      <c r="I107" s="71">
        <f>IF(I29=0,"-",I99/I29)</f>
        <v>2.4773195876288661</v>
      </c>
      <c r="J107" s="71">
        <f>IF(J29=0,"-",J99/J29)</f>
        <v>5.0202197802197803</v>
      </c>
      <c r="K107" s="71">
        <f>IF(K29=0,"-",K99/K29)</f>
        <v>8.4071287128712875</v>
      </c>
      <c r="L107" s="40"/>
    </row>
    <row r="108" spans="1:12">
      <c r="A108" s="14"/>
      <c r="B108" s="15" t="s">
        <v>182</v>
      </c>
      <c r="C108" s="16" t="s">
        <v>183</v>
      </c>
      <c r="D108" s="17" t="s">
        <v>29</v>
      </c>
      <c r="E108" s="18" t="s">
        <v>184</v>
      </c>
      <c r="F108" s="37">
        <v>0</v>
      </c>
      <c r="G108" s="37">
        <v>0.6</v>
      </c>
      <c r="H108" s="37">
        <v>0.65</v>
      </c>
      <c r="I108" s="37">
        <v>0.7</v>
      </c>
      <c r="J108" s="37">
        <v>0.75</v>
      </c>
      <c r="K108" s="37">
        <v>0.8</v>
      </c>
      <c r="L108" s="38"/>
    </row>
    <row r="109" spans="1:12">
      <c r="A109" s="14"/>
      <c r="B109" s="21"/>
      <c r="C109" s="16" t="s">
        <v>185</v>
      </c>
      <c r="D109" s="17" t="s">
        <v>16</v>
      </c>
      <c r="E109" s="18" t="s">
        <v>184</v>
      </c>
      <c r="F109" s="19">
        <v>0</v>
      </c>
      <c r="G109" s="19">
        <v>40</v>
      </c>
      <c r="H109" s="19">
        <v>45</v>
      </c>
      <c r="I109" s="19">
        <v>50</v>
      </c>
      <c r="J109" s="19">
        <v>55</v>
      </c>
      <c r="K109" s="19">
        <v>60</v>
      </c>
      <c r="L109" s="20"/>
    </row>
    <row r="110" spans="1:12">
      <c r="A110" s="14"/>
      <c r="B110" s="21"/>
      <c r="C110" s="16" t="s">
        <v>186</v>
      </c>
      <c r="D110" s="17" t="s">
        <v>29</v>
      </c>
      <c r="E110" s="18" t="s">
        <v>184</v>
      </c>
      <c r="F110" s="37">
        <v>0.9</v>
      </c>
      <c r="G110" s="37">
        <v>0.92</v>
      </c>
      <c r="H110" s="37">
        <v>0.95</v>
      </c>
      <c r="I110" s="37">
        <v>0.95</v>
      </c>
      <c r="J110" s="37">
        <v>0.95</v>
      </c>
      <c r="K110" s="37">
        <v>0.95</v>
      </c>
      <c r="L110" s="38"/>
    </row>
    <row r="111" spans="1:12">
      <c r="A111" s="14"/>
      <c r="B111" s="15" t="s">
        <v>187</v>
      </c>
      <c r="C111" s="16" t="s">
        <v>188</v>
      </c>
      <c r="D111" s="17" t="s">
        <v>19</v>
      </c>
      <c r="E111" s="18"/>
      <c r="F111" s="28">
        <f t="shared" ref="F111:K111" si="47">F99-F83</f>
        <v>-29468.777777777777</v>
      </c>
      <c r="G111" s="28">
        <f t="shared" si="47"/>
        <v>-47623.111111111109</v>
      </c>
      <c r="H111" s="28">
        <f t="shared" si="47"/>
        <v>-68634.555555555562</v>
      </c>
      <c r="I111" s="28">
        <f t="shared" si="47"/>
        <v>-78207.222222222219</v>
      </c>
      <c r="J111" s="28">
        <f t="shared" si="47"/>
        <v>-91560.777777777781</v>
      </c>
      <c r="K111" s="28">
        <f t="shared" si="47"/>
        <v>-110294</v>
      </c>
      <c r="L111" s="29">
        <f>SUM(F111:K111)</f>
        <v>-425788.44444444444</v>
      </c>
    </row>
    <row r="112" spans="1:12">
      <c r="A112" s="14"/>
      <c r="B112" s="21"/>
      <c r="C112" s="16" t="s">
        <v>189</v>
      </c>
      <c r="D112" s="17" t="s">
        <v>29</v>
      </c>
      <c r="E112" s="18"/>
      <c r="F112" s="41">
        <f t="shared" ref="F112:K112" si="48">IF(F99=0,"-",F111/F99)</f>
        <v>-601.40362811791385</v>
      </c>
      <c r="G112" s="41">
        <f t="shared" si="48"/>
        <v>-200.09710550887021</v>
      </c>
      <c r="H112" s="41">
        <f t="shared" si="48"/>
        <v>-11.841710758377426</v>
      </c>
      <c r="I112" s="41">
        <f t="shared" si="48"/>
        <v>-6.5091321033892813</v>
      </c>
      <c r="J112" s="41">
        <f t="shared" si="48"/>
        <v>-4.0084396190253822</v>
      </c>
      <c r="K112" s="41">
        <f t="shared" si="48"/>
        <v>-2.5978424722065196</v>
      </c>
      <c r="L112" s="38"/>
    </row>
    <row r="113" spans="1:12">
      <c r="A113" s="14"/>
      <c r="B113" s="15" t="s">
        <v>190</v>
      </c>
      <c r="C113" s="16" t="s">
        <v>191</v>
      </c>
      <c r="D113" s="17" t="s">
        <v>29</v>
      </c>
      <c r="E113" s="18" t="s">
        <v>192</v>
      </c>
      <c r="F113" s="37">
        <v>0</v>
      </c>
      <c r="G113" s="37">
        <v>0</v>
      </c>
      <c r="H113" s="37">
        <v>0</v>
      </c>
      <c r="I113" s="37">
        <v>0.1</v>
      </c>
      <c r="J113" s="37">
        <v>0.12</v>
      </c>
      <c r="K113" s="37">
        <v>0.15</v>
      </c>
      <c r="L113" s="38"/>
    </row>
    <row r="114" spans="1:12">
      <c r="A114" s="14"/>
      <c r="B114" s="21"/>
      <c r="C114" s="16" t="s">
        <v>193</v>
      </c>
      <c r="D114" s="17" t="s">
        <v>54</v>
      </c>
      <c r="E114" s="18"/>
      <c r="F114" s="26">
        <f>IF(F25=0,"-",F99*F113/F25*$B$3)</f>
        <v>0</v>
      </c>
      <c r="G114" s="26">
        <f>IF(G25=0,"-",G99*G113/G25*$B$3)</f>
        <v>0</v>
      </c>
      <c r="H114" s="26">
        <f>IF(H25=0,"-",H99*H113/H25*$B$3)</f>
        <v>0</v>
      </c>
      <c r="I114" s="26">
        <f>IF(I25=0,"-",I99*I113/I25*$B$3)</f>
        <v>270.33750000000003</v>
      </c>
      <c r="J114" s="26">
        <f>IF(J25=0,"-",J99*J113/J25*$B$3)</f>
        <v>548.20799999999997</v>
      </c>
      <c r="K114" s="26">
        <f>IF(K25=0,"-",K99*K113/K25*$B$3)</f>
        <v>1146.3119999999999</v>
      </c>
      <c r="L114" s="25"/>
    </row>
    <row r="116" spans="1:12">
      <c r="A116" s="88" t="s">
        <v>194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</row>
    <row r="117" spans="1:12">
      <c r="A117" s="89" t="s">
        <v>195</v>
      </c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</row>
    <row r="118" spans="1:12">
      <c r="A118" s="89" t="s">
        <v>196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</row>
    <row r="119" spans="1:12">
      <c r="A119" s="89" t="s">
        <v>197</v>
      </c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</row>
    <row r="120" spans="1:12">
      <c r="A120" s="89" t="s">
        <v>198</v>
      </c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</row>
    <row r="121" spans="1:12">
      <c r="A121" s="89" t="s">
        <v>199</v>
      </c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</row>
    <row r="122" spans="1:12">
      <c r="A122" s="89" t="s">
        <v>200</v>
      </c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</row>
    <row r="123" spans="1:12">
      <c r="A123" s="89" t="s">
        <v>201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</row>
    <row r="124" spans="1:12">
      <c r="A124" s="89" t="s">
        <v>202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</row>
    <row r="125" spans="1:12">
      <c r="A125" s="89" t="s">
        <v>203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</row>
    <row r="126" spans="1:12">
      <c r="A126" s="89" t="s">
        <v>204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</row>
  </sheetData>
  <mergeCells count="20">
    <mergeCell ref="A118:L118"/>
    <mergeCell ref="A1:L1"/>
    <mergeCell ref="A2:L2"/>
    <mergeCell ref="A4:L4"/>
    <mergeCell ref="A24:L24"/>
    <mergeCell ref="A50:L50"/>
    <mergeCell ref="A59:L59"/>
    <mergeCell ref="A70:L70"/>
    <mergeCell ref="A86:L86"/>
    <mergeCell ref="A100:L100"/>
    <mergeCell ref="A116:L116"/>
    <mergeCell ref="A117:L117"/>
    <mergeCell ref="A125:L125"/>
    <mergeCell ref="A126:L126"/>
    <mergeCell ref="A119:L119"/>
    <mergeCell ref="A120:L120"/>
    <mergeCell ref="A121:L121"/>
    <mergeCell ref="A122:L122"/>
    <mergeCell ref="A123:L123"/>
    <mergeCell ref="A124:L124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AB08-6BD0-4006-ACE5-2A0409737E62}">
  <dimension ref="A1:V127"/>
  <sheetViews>
    <sheetView zoomScaleNormal="100" workbookViewId="0">
      <pane xSplit="5" topLeftCell="F1" activePane="topRight" state="frozen"/>
      <selection pane="topRight" activeCell="G9" sqref="C9:G20"/>
      <selection activeCell="A24" sqref="A24"/>
    </sheetView>
  </sheetViews>
  <sheetFormatPr defaultColWidth="8.5703125" defaultRowHeight="14.45"/>
  <cols>
    <col min="1" max="1" width="14" customWidth="1"/>
    <col min="2" max="2" width="22" customWidth="1"/>
    <col min="3" max="3" width="36" customWidth="1"/>
    <col min="4" max="4" width="8" customWidth="1"/>
    <col min="5" max="5" width="12" customWidth="1"/>
    <col min="6" max="12" width="14" customWidth="1"/>
    <col min="16" max="16" width="9.7109375" bestFit="1" customWidth="1"/>
  </cols>
  <sheetData>
    <row r="1" spans="1:12" ht="43.5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21.75" customHeight="1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2" t="s">
        <v>2</v>
      </c>
      <c r="B3" s="3">
        <v>90</v>
      </c>
      <c r="C3" s="1" t="s">
        <v>3</v>
      </c>
    </row>
    <row r="4" spans="1:12" ht="30" customHeight="1">
      <c r="A4" s="81" t="s">
        <v>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21.75" customHeight="1">
      <c r="A5" s="4"/>
      <c r="B5" s="4"/>
      <c r="C5" s="4" t="s">
        <v>5</v>
      </c>
      <c r="D5" s="4" t="s">
        <v>6</v>
      </c>
      <c r="E5" s="4"/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</row>
    <row r="6" spans="1:12" ht="21.75" customHeight="1">
      <c r="A6" s="5"/>
      <c r="B6" s="6" t="s">
        <v>14</v>
      </c>
      <c r="C6" s="7" t="s">
        <v>15</v>
      </c>
      <c r="D6" s="8" t="s">
        <v>16</v>
      </c>
      <c r="E6" s="5"/>
      <c r="F6" s="9">
        <f t="shared" ref="F6:K6" si="0">F25</f>
        <v>250</v>
      </c>
      <c r="G6" s="9">
        <f t="shared" si="0"/>
        <v>417.5</v>
      </c>
      <c r="H6" s="9">
        <f t="shared" si="0"/>
        <v>563.22500000000002</v>
      </c>
      <c r="I6" s="9">
        <f t="shared" si="0"/>
        <v>690.00575000000003</v>
      </c>
      <c r="J6" s="9">
        <f t="shared" si="0"/>
        <v>800.3050025</v>
      </c>
      <c r="K6" s="9">
        <f t="shared" si="0"/>
        <v>896.26535217499998</v>
      </c>
      <c r="L6" s="9">
        <f t="shared" ref="L6:L14" si="1">SUM(F6:K6)</f>
        <v>3617.3011046749998</v>
      </c>
    </row>
    <row r="7" spans="1:12" ht="21.75" customHeight="1">
      <c r="A7" s="5"/>
      <c r="B7" s="6"/>
      <c r="C7" s="7" t="s">
        <v>17</v>
      </c>
      <c r="D7" s="8" t="s">
        <v>16</v>
      </c>
      <c r="E7" s="5"/>
      <c r="F7" s="9">
        <f t="shared" ref="F7:K7" si="2">F30</f>
        <v>2500</v>
      </c>
      <c r="G7" s="9">
        <f t="shared" si="2"/>
        <v>5010</v>
      </c>
      <c r="H7" s="9">
        <f t="shared" si="2"/>
        <v>8448.375</v>
      </c>
      <c r="I7" s="9">
        <f t="shared" si="2"/>
        <v>8330.0689999999995</v>
      </c>
      <c r="J7" s="9">
        <f t="shared" si="2"/>
        <v>8053.0500250000005</v>
      </c>
      <c r="K7" s="9">
        <f t="shared" si="2"/>
        <v>9012.6535217500004</v>
      </c>
      <c r="L7" s="9">
        <f t="shared" si="1"/>
        <v>41354.147546749999</v>
      </c>
    </row>
    <row r="8" spans="1:12" ht="21.75" customHeight="1">
      <c r="A8" s="5"/>
      <c r="B8" s="6"/>
      <c r="C8" s="7" t="s">
        <v>18</v>
      </c>
      <c r="D8" s="8" t="s">
        <v>19</v>
      </c>
      <c r="E8" s="5"/>
      <c r="F8" s="10">
        <f t="shared" ref="F8:K8" si="3">F38</f>
        <v>15722.222222222223</v>
      </c>
      <c r="G8" s="10">
        <f t="shared" si="3"/>
        <v>24555.555555555555</v>
      </c>
      <c r="H8" s="10">
        <f t="shared" si="3"/>
        <v>34161.25</v>
      </c>
      <c r="I8" s="10">
        <f t="shared" si="3"/>
        <v>22666.794444444444</v>
      </c>
      <c r="J8" s="10">
        <f t="shared" si="3"/>
        <v>26451.222277777775</v>
      </c>
      <c r="K8" s="10">
        <f t="shared" si="3"/>
        <v>29917.007826111112</v>
      </c>
      <c r="L8" s="10">
        <f t="shared" si="1"/>
        <v>153474.05232611112</v>
      </c>
    </row>
    <row r="9" spans="1:12" ht="21.75" customHeight="1">
      <c r="A9" s="5"/>
      <c r="B9" s="6"/>
      <c r="C9" s="7" t="s">
        <v>20</v>
      </c>
      <c r="D9" s="8" t="s">
        <v>19</v>
      </c>
      <c r="E9" s="5"/>
      <c r="F9" s="10">
        <f t="shared" ref="F9:K9" si="4">F48</f>
        <v>5555.5555555555557</v>
      </c>
      <c r="G9" s="10">
        <f t="shared" si="4"/>
        <v>17201.388888888891</v>
      </c>
      <c r="H9" s="10">
        <f t="shared" si="4"/>
        <v>23531.513888888891</v>
      </c>
      <c r="I9" s="10">
        <f t="shared" si="4"/>
        <v>25527.953472222223</v>
      </c>
      <c r="J9" s="10">
        <f t="shared" si="4"/>
        <v>31565.891751388885</v>
      </c>
      <c r="K9" s="10">
        <f t="shared" si="4"/>
        <v>34817.88137926389</v>
      </c>
      <c r="L9" s="10">
        <f t="shared" si="1"/>
        <v>138200.18493620833</v>
      </c>
    </row>
    <row r="10" spans="1:12" ht="21.75" customHeight="1">
      <c r="A10" s="5"/>
      <c r="B10" s="6"/>
      <c r="C10" s="7" t="s">
        <v>21</v>
      </c>
      <c r="D10" s="8" t="s">
        <v>19</v>
      </c>
      <c r="E10" s="5"/>
      <c r="F10" s="10">
        <f t="shared" ref="F10:K10" si="5">F50</f>
        <v>21277.777777777777</v>
      </c>
      <c r="G10" s="10">
        <f t="shared" si="5"/>
        <v>41756.944444444445</v>
      </c>
      <c r="H10" s="10">
        <f t="shared" si="5"/>
        <v>57692.763888888891</v>
      </c>
      <c r="I10" s="10">
        <f t="shared" si="5"/>
        <v>48194.747916666667</v>
      </c>
      <c r="J10" s="10">
        <f t="shared" si="5"/>
        <v>58017.11402916666</v>
      </c>
      <c r="K10" s="10">
        <f t="shared" si="5"/>
        <v>64734.889205375002</v>
      </c>
      <c r="L10" s="10">
        <f t="shared" si="1"/>
        <v>291674.23726231942</v>
      </c>
    </row>
    <row r="11" spans="1:12" ht="21.75" customHeight="1">
      <c r="A11" s="5"/>
      <c r="B11" s="6" t="s">
        <v>22</v>
      </c>
      <c r="C11" s="7" t="s">
        <v>23</v>
      </c>
      <c r="D11" s="8" t="s">
        <v>16</v>
      </c>
      <c r="E11" s="5"/>
      <c r="F11" s="9">
        <f t="shared" ref="F11:K11" si="6">F52</f>
        <v>12000</v>
      </c>
      <c r="G11" s="9">
        <f t="shared" si="6"/>
        <v>25000</v>
      </c>
      <c r="H11" s="9">
        <f t="shared" si="6"/>
        <v>49371</v>
      </c>
      <c r="I11" s="9">
        <f t="shared" si="6"/>
        <v>120000</v>
      </c>
      <c r="J11" s="9">
        <f t="shared" si="6"/>
        <v>220000</v>
      </c>
      <c r="K11" s="9">
        <f t="shared" si="6"/>
        <v>330000</v>
      </c>
      <c r="L11" s="9">
        <f>K11</f>
        <v>330000</v>
      </c>
    </row>
    <row r="12" spans="1:12" ht="21.75" customHeight="1">
      <c r="A12" s="5"/>
      <c r="B12" s="6"/>
      <c r="C12" s="7" t="s">
        <v>24</v>
      </c>
      <c r="D12" s="8" t="s">
        <v>16</v>
      </c>
      <c r="E12" s="5"/>
      <c r="F12" s="9">
        <f t="shared" ref="F12:K12" si="7">F56</f>
        <v>0</v>
      </c>
      <c r="G12" s="9">
        <f t="shared" si="7"/>
        <v>0</v>
      </c>
      <c r="H12" s="9">
        <f t="shared" si="7"/>
        <v>4937</v>
      </c>
      <c r="I12" s="9">
        <f t="shared" si="7"/>
        <v>24000</v>
      </c>
      <c r="J12" s="9">
        <f t="shared" si="7"/>
        <v>66000</v>
      </c>
      <c r="K12" s="9">
        <f t="shared" si="7"/>
        <v>99000</v>
      </c>
      <c r="L12" s="9">
        <f t="shared" si="1"/>
        <v>193937</v>
      </c>
    </row>
    <row r="13" spans="1:12" ht="21.75" customHeight="1">
      <c r="A13" s="5"/>
      <c r="B13" s="6"/>
      <c r="C13" s="7" t="s">
        <v>25</v>
      </c>
      <c r="D13" s="8" t="s">
        <v>19</v>
      </c>
      <c r="E13" s="5"/>
      <c r="F13" s="10">
        <f t="shared" ref="F13:K13" si="8">F58</f>
        <v>0</v>
      </c>
      <c r="G13" s="10">
        <f t="shared" si="8"/>
        <v>0</v>
      </c>
      <c r="H13" s="10">
        <f t="shared" si="8"/>
        <v>4443.3</v>
      </c>
      <c r="I13" s="10">
        <f t="shared" si="8"/>
        <v>19200</v>
      </c>
      <c r="J13" s="10">
        <f t="shared" si="8"/>
        <v>46200</v>
      </c>
      <c r="K13" s="10">
        <f t="shared" si="8"/>
        <v>59400</v>
      </c>
      <c r="L13" s="10">
        <f t="shared" si="1"/>
        <v>129243.3</v>
      </c>
    </row>
    <row r="14" spans="1:12" ht="21.75" customHeight="1">
      <c r="A14" s="5"/>
      <c r="B14" s="6" t="s">
        <v>26</v>
      </c>
      <c r="C14" s="7" t="s">
        <v>27</v>
      </c>
      <c r="D14" s="8" t="s">
        <v>16</v>
      </c>
      <c r="E14" s="5"/>
      <c r="F14" s="9">
        <f t="shared" ref="F14:K14" si="9">F65</f>
        <v>112000</v>
      </c>
      <c r="G14" s="9">
        <f t="shared" si="9"/>
        <v>240480</v>
      </c>
      <c r="H14" s="9">
        <f t="shared" si="9"/>
        <v>432557</v>
      </c>
      <c r="I14" s="9">
        <f t="shared" si="9"/>
        <v>453156</v>
      </c>
      <c r="J14" s="9">
        <f t="shared" si="9"/>
        <v>463856</v>
      </c>
      <c r="K14" s="9">
        <f t="shared" si="9"/>
        <v>461448</v>
      </c>
      <c r="L14" s="9">
        <f t="shared" si="1"/>
        <v>2163497</v>
      </c>
    </row>
    <row r="15" spans="1:12" ht="21.75" customHeight="1">
      <c r="A15" s="5"/>
      <c r="B15" s="6"/>
      <c r="C15" s="7" t="s">
        <v>28</v>
      </c>
      <c r="D15" s="8" t="s">
        <v>29</v>
      </c>
      <c r="E15" s="5"/>
      <c r="F15" s="11">
        <f>F63</f>
        <v>0.7</v>
      </c>
      <c r="G15" s="11">
        <f>G63</f>
        <v>0.75</v>
      </c>
      <c r="H15" s="11">
        <f>H63</f>
        <v>0.8</v>
      </c>
      <c r="I15" s="11">
        <f>I63</f>
        <v>0.85</v>
      </c>
      <c r="J15" s="11">
        <f>J63</f>
        <v>0.9</v>
      </c>
      <c r="K15" s="11">
        <f>K63</f>
        <v>0.8</v>
      </c>
      <c r="L15" s="11">
        <f>AVERAGE(F15:K15)</f>
        <v>0.79999999999999993</v>
      </c>
    </row>
    <row r="16" spans="1:12" ht="21.75" customHeight="1">
      <c r="A16" s="5"/>
      <c r="B16" s="6"/>
      <c r="C16" s="7" t="s">
        <v>30</v>
      </c>
      <c r="D16" s="8" t="s">
        <v>16</v>
      </c>
      <c r="E16" s="5"/>
      <c r="F16" s="9">
        <f t="shared" ref="F16:K16" si="10">F66</f>
        <v>44.8</v>
      </c>
      <c r="G16" s="9">
        <f t="shared" si="10"/>
        <v>48</v>
      </c>
      <c r="H16" s="9">
        <f t="shared" si="10"/>
        <v>51.200023673191588</v>
      </c>
      <c r="I16" s="9">
        <f t="shared" si="10"/>
        <v>54.400029579586921</v>
      </c>
      <c r="J16" s="9">
        <f t="shared" si="10"/>
        <v>57.60003955768299</v>
      </c>
      <c r="K16" s="9">
        <f t="shared" si="10"/>
        <v>51.20001549892045</v>
      </c>
      <c r="L16" s="9">
        <f>SUM(F16:K16)</f>
        <v>307.2001083093819</v>
      </c>
    </row>
    <row r="17" spans="1:14" ht="21.75" hidden="1" customHeight="1">
      <c r="A17" s="5"/>
      <c r="B17" s="6" t="s">
        <v>31</v>
      </c>
      <c r="C17" s="7" t="s">
        <v>32</v>
      </c>
      <c r="D17" s="8" t="s">
        <v>19</v>
      </c>
      <c r="E17" s="5"/>
      <c r="F17" s="10">
        <f t="shared" ref="F17:K17" si="11">F95</f>
        <v>49</v>
      </c>
      <c r="G17" s="10">
        <f t="shared" si="11"/>
        <v>238</v>
      </c>
      <c r="H17" s="10">
        <f t="shared" si="11"/>
        <v>786</v>
      </c>
      <c r="I17" s="10">
        <f t="shared" si="11"/>
        <v>2418</v>
      </c>
      <c r="J17" s="10">
        <f t="shared" si="11"/>
        <v>8076</v>
      </c>
      <c r="K17" s="10">
        <f t="shared" si="11"/>
        <v>12751</v>
      </c>
      <c r="L17" s="10">
        <f>SUM(F17:K17)</f>
        <v>24318</v>
      </c>
    </row>
    <row r="18" spans="1:14" ht="21.75" hidden="1" customHeight="1">
      <c r="A18" s="5"/>
      <c r="B18" s="6"/>
      <c r="C18" s="7" t="s">
        <v>33</v>
      </c>
      <c r="D18" s="8" t="s">
        <v>19</v>
      </c>
      <c r="E18" s="5"/>
      <c r="F18" s="10">
        <f t="shared" ref="F18:K18" si="12">F100</f>
        <v>49</v>
      </c>
      <c r="G18" s="10">
        <f t="shared" si="12"/>
        <v>238</v>
      </c>
      <c r="H18" s="10">
        <f t="shared" si="12"/>
        <v>5786</v>
      </c>
      <c r="I18" s="10">
        <f t="shared" si="12"/>
        <v>12418</v>
      </c>
      <c r="J18" s="10">
        <f t="shared" si="12"/>
        <v>23576</v>
      </c>
      <c r="K18" s="10">
        <f t="shared" si="12"/>
        <v>39751</v>
      </c>
      <c r="L18" s="10">
        <f>SUM(F18:K18)</f>
        <v>81818</v>
      </c>
    </row>
    <row r="19" spans="1:14" ht="21.75" customHeight="1">
      <c r="A19" s="5"/>
      <c r="B19" s="6" t="s">
        <v>34</v>
      </c>
      <c r="C19" s="7" t="s">
        <v>35</v>
      </c>
      <c r="D19" s="8" t="s">
        <v>19</v>
      </c>
      <c r="E19" s="5"/>
      <c r="F19" s="10">
        <f t="shared" ref="F19:K19" si="13">F84</f>
        <v>26277.777777777777</v>
      </c>
      <c r="G19" s="10">
        <f t="shared" si="13"/>
        <v>44756.944444444445</v>
      </c>
      <c r="H19" s="10">
        <f t="shared" si="13"/>
        <v>101136.06388888889</v>
      </c>
      <c r="I19" s="10">
        <f t="shared" si="13"/>
        <v>114394.74791666667</v>
      </c>
      <c r="J19" s="10">
        <f t="shared" si="13"/>
        <v>146217.11402916667</v>
      </c>
      <c r="K19" s="10">
        <f t="shared" si="13"/>
        <v>131134.88920537499</v>
      </c>
      <c r="L19" s="10">
        <f>SUM(F19:K19)</f>
        <v>563917.53726231947</v>
      </c>
    </row>
    <row r="20" spans="1:14" ht="21.75" customHeight="1">
      <c r="A20" s="5"/>
      <c r="B20" s="6"/>
      <c r="C20" s="7" t="s">
        <v>36</v>
      </c>
      <c r="D20" s="8" t="s">
        <v>19</v>
      </c>
      <c r="E20" s="5"/>
      <c r="F20" s="74">
        <f t="shared" ref="F20:K20" si="14">F102</f>
        <v>2.1898148148148149</v>
      </c>
      <c r="G20" s="74">
        <f t="shared" si="14"/>
        <v>1.7902777777777779</v>
      </c>
      <c r="H20" s="74">
        <f t="shared" si="14"/>
        <v>2.0484912983105241</v>
      </c>
      <c r="I20" s="74">
        <f t="shared" si="14"/>
        <v>0.95328956597222225</v>
      </c>
      <c r="J20" s="74">
        <f t="shared" si="14"/>
        <v>0.66462324558712116</v>
      </c>
      <c r="K20" s="74">
        <f t="shared" si="14"/>
        <v>0.39737845213749995</v>
      </c>
      <c r="L20" s="74">
        <f>SUM(F20:K20)</f>
        <v>8.0438751545999612</v>
      </c>
    </row>
    <row r="21" spans="1:14" ht="21.75" customHeight="1">
      <c r="A21" s="5"/>
      <c r="B21" s="6"/>
      <c r="C21" s="7" t="s">
        <v>37</v>
      </c>
      <c r="D21" s="8" t="s">
        <v>38</v>
      </c>
      <c r="E21" s="5"/>
      <c r="F21" s="12">
        <f t="shared" ref="F21:K21" si="15">F105</f>
        <v>1.864693446088795E-3</v>
      </c>
      <c r="G21" s="12">
        <f t="shared" si="15"/>
        <v>5.3176105508145844E-3</v>
      </c>
      <c r="H21" s="12">
        <f t="shared" si="15"/>
        <v>5.7210057199345556E-2</v>
      </c>
      <c r="I21" s="12">
        <f t="shared" si="15"/>
        <v>0.10855393474048441</v>
      </c>
      <c r="J21" s="12">
        <f t="shared" si="15"/>
        <v>0.1612396753727281</v>
      </c>
      <c r="K21" s="12">
        <f t="shared" si="15"/>
        <v>0.3031306179528207</v>
      </c>
      <c r="L21" s="12">
        <f>AVERAGE(F21:K21)</f>
        <v>0.10621943154371367</v>
      </c>
    </row>
    <row r="23" spans="1:14" ht="27.75" customHeight="1">
      <c r="A23" s="13" t="s">
        <v>39</v>
      </c>
      <c r="B23" s="13" t="s">
        <v>40</v>
      </c>
      <c r="C23" s="13" t="s">
        <v>5</v>
      </c>
      <c r="D23" s="13" t="s">
        <v>6</v>
      </c>
      <c r="E23" s="13" t="s">
        <v>41</v>
      </c>
      <c r="F23" s="13" t="s">
        <v>7</v>
      </c>
      <c r="G23" s="13" t="s">
        <v>8</v>
      </c>
      <c r="H23" s="13" t="s">
        <v>9</v>
      </c>
      <c r="I23" s="13" t="s">
        <v>10</v>
      </c>
      <c r="J23" s="13" t="s">
        <v>11</v>
      </c>
      <c r="K23" s="13" t="s">
        <v>12</v>
      </c>
      <c r="L23" s="13" t="s">
        <v>13</v>
      </c>
    </row>
    <row r="24" spans="1:14" ht="27.75" customHeight="1">
      <c r="A24" s="82" t="s">
        <v>42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</row>
    <row r="25" spans="1:14">
      <c r="A25" s="14" t="s">
        <v>14</v>
      </c>
      <c r="B25" s="15" t="s">
        <v>43</v>
      </c>
      <c r="C25" s="16" t="s">
        <v>44</v>
      </c>
      <c r="D25" s="17" t="s">
        <v>16</v>
      </c>
      <c r="E25" s="18" t="s">
        <v>45</v>
      </c>
      <c r="F25" s="19">
        <f>+F27</f>
        <v>250</v>
      </c>
      <c r="G25" s="62">
        <f>F25*G26+G27</f>
        <v>417.5</v>
      </c>
      <c r="H25" s="62">
        <f t="shared" ref="H25:K25" si="16">G25*H26+H27</f>
        <v>563.22500000000002</v>
      </c>
      <c r="I25" s="62">
        <f t="shared" si="16"/>
        <v>690.00575000000003</v>
      </c>
      <c r="J25" s="62">
        <f t="shared" si="16"/>
        <v>800.3050025</v>
      </c>
      <c r="K25" s="62">
        <f t="shared" si="16"/>
        <v>896.26535217499998</v>
      </c>
      <c r="L25" s="20"/>
    </row>
    <row r="26" spans="1:14">
      <c r="A26" s="14"/>
      <c r="B26" s="14"/>
      <c r="C26" s="68" t="s">
        <v>46</v>
      </c>
      <c r="D26" s="17"/>
      <c r="E26" s="18"/>
      <c r="F26" s="19"/>
      <c r="G26" s="76">
        <v>0.87</v>
      </c>
      <c r="H26" s="76">
        <v>0.87</v>
      </c>
      <c r="I26" s="76">
        <v>0.87</v>
      </c>
      <c r="J26" s="76">
        <v>0.87</v>
      </c>
      <c r="K26" s="76">
        <v>0.87</v>
      </c>
      <c r="L26" s="20"/>
    </row>
    <row r="27" spans="1:14">
      <c r="A27" s="14"/>
      <c r="B27" s="14"/>
      <c r="C27" s="68" t="s">
        <v>47</v>
      </c>
      <c r="D27" s="17" t="s">
        <v>16</v>
      </c>
      <c r="E27" s="18" t="s">
        <v>45</v>
      </c>
      <c r="F27" s="19">
        <v>250</v>
      </c>
      <c r="G27" s="19">
        <v>200</v>
      </c>
      <c r="H27" s="19">
        <v>200</v>
      </c>
      <c r="I27" s="19">
        <v>200</v>
      </c>
      <c r="J27" s="19">
        <v>200</v>
      </c>
      <c r="K27" s="19">
        <v>200</v>
      </c>
      <c r="L27" s="20"/>
    </row>
    <row r="28" spans="1:14">
      <c r="A28" s="14"/>
      <c r="B28" s="21"/>
      <c r="C28" s="16" t="s">
        <v>48</v>
      </c>
      <c r="D28" s="17" t="s">
        <v>16</v>
      </c>
      <c r="E28" s="18" t="s">
        <v>45</v>
      </c>
      <c r="F28" s="19">
        <v>10</v>
      </c>
      <c r="G28" s="19">
        <v>12</v>
      </c>
      <c r="H28" s="19">
        <v>15</v>
      </c>
      <c r="I28" s="19">
        <v>12</v>
      </c>
      <c r="J28" s="19">
        <v>10</v>
      </c>
      <c r="K28" s="19">
        <v>10</v>
      </c>
      <c r="L28" s="20"/>
    </row>
    <row r="29" spans="1:14">
      <c r="A29" s="14"/>
      <c r="B29" s="21"/>
      <c r="C29" s="16" t="s">
        <v>49</v>
      </c>
      <c r="D29" s="17" t="s">
        <v>16</v>
      </c>
      <c r="E29" s="18" t="s">
        <v>50</v>
      </c>
      <c r="F29" s="19"/>
      <c r="G29" s="19"/>
      <c r="H29" s="19"/>
      <c r="I29" s="19">
        <v>50</v>
      </c>
      <c r="J29" s="19">
        <v>50</v>
      </c>
      <c r="K29" s="19">
        <v>50</v>
      </c>
      <c r="L29" s="20"/>
    </row>
    <row r="30" spans="1:14">
      <c r="A30" s="14"/>
      <c r="B30" s="21"/>
      <c r="C30" s="16" t="s">
        <v>51</v>
      </c>
      <c r="D30" s="17" t="s">
        <v>16</v>
      </c>
      <c r="E30" s="18"/>
      <c r="F30" s="22">
        <f>F25*F28+F29</f>
        <v>2500</v>
      </c>
      <c r="G30" s="22">
        <f t="shared" ref="G30:K30" si="17">G25*G28+G29</f>
        <v>5010</v>
      </c>
      <c r="H30" s="22">
        <f t="shared" si="17"/>
        <v>8448.375</v>
      </c>
      <c r="I30" s="22">
        <f t="shared" si="17"/>
        <v>8330.0689999999995</v>
      </c>
      <c r="J30" s="22">
        <f t="shared" si="17"/>
        <v>8053.0500250000005</v>
      </c>
      <c r="K30" s="22">
        <f t="shared" si="17"/>
        <v>9012.6535217500004</v>
      </c>
      <c r="L30" s="23">
        <f>SUM(F30:K30)</f>
        <v>41354.147546749999</v>
      </c>
    </row>
    <row r="31" spans="1:14">
      <c r="A31" s="14"/>
      <c r="B31" s="15" t="s">
        <v>52</v>
      </c>
      <c r="C31" s="16" t="s">
        <v>53</v>
      </c>
      <c r="D31" s="17" t="s">
        <v>54</v>
      </c>
      <c r="E31" s="18" t="s">
        <v>55</v>
      </c>
      <c r="F31" s="24">
        <v>3500</v>
      </c>
      <c r="G31" s="24">
        <v>4000</v>
      </c>
      <c r="H31" s="24">
        <v>4500</v>
      </c>
      <c r="I31" s="24">
        <v>2000</v>
      </c>
      <c r="J31" s="24">
        <v>2000</v>
      </c>
      <c r="K31" s="24">
        <v>2000</v>
      </c>
      <c r="L31" s="25"/>
      <c r="N31" t="s">
        <v>56</v>
      </c>
    </row>
    <row r="32" spans="1:14">
      <c r="A32" s="14"/>
      <c r="B32" s="21"/>
      <c r="C32" s="16" t="s">
        <v>57</v>
      </c>
      <c r="D32" s="17" t="s">
        <v>54</v>
      </c>
      <c r="E32" s="18"/>
      <c r="F32" s="26">
        <f t="shared" ref="F32:K32" si="18">F25*F31</f>
        <v>875000</v>
      </c>
      <c r="G32" s="26">
        <f t="shared" si="18"/>
        <v>1670000</v>
      </c>
      <c r="H32" s="26">
        <f t="shared" si="18"/>
        <v>2534512.5</v>
      </c>
      <c r="I32" s="26">
        <f t="shared" si="18"/>
        <v>1380011.5</v>
      </c>
      <c r="J32" s="26">
        <f t="shared" si="18"/>
        <v>1600610.0049999999</v>
      </c>
      <c r="K32" s="26">
        <f t="shared" si="18"/>
        <v>1792530.70435</v>
      </c>
      <c r="L32" s="27">
        <f>SUM(F32:K32)</f>
        <v>9852664.7093499992</v>
      </c>
    </row>
    <row r="33" spans="1:22">
      <c r="A33" s="14"/>
      <c r="B33" s="21"/>
      <c r="C33" s="16" t="s">
        <v>58</v>
      </c>
      <c r="D33" s="17" t="s">
        <v>19</v>
      </c>
      <c r="E33" s="18"/>
      <c r="F33" s="28">
        <f t="shared" ref="F33:K33" si="19">F32/$B$3</f>
        <v>9722.2222222222226</v>
      </c>
      <c r="G33" s="28">
        <f t="shared" si="19"/>
        <v>18555.555555555555</v>
      </c>
      <c r="H33" s="28">
        <f t="shared" si="19"/>
        <v>28161.25</v>
      </c>
      <c r="I33" s="28">
        <f t="shared" si="19"/>
        <v>15333.461111111112</v>
      </c>
      <c r="J33" s="28">
        <f t="shared" si="19"/>
        <v>17784.555611111111</v>
      </c>
      <c r="K33" s="28">
        <f t="shared" si="19"/>
        <v>19917.007826111112</v>
      </c>
      <c r="L33" s="29">
        <f>SUM(F33:K33)</f>
        <v>109474.05232611112</v>
      </c>
    </row>
    <row r="34" spans="1:22">
      <c r="A34" s="14"/>
      <c r="B34" s="15" t="s">
        <v>59</v>
      </c>
      <c r="C34" s="16" t="s">
        <v>60</v>
      </c>
      <c r="D34" s="17" t="s">
        <v>54</v>
      </c>
      <c r="E34" s="18" t="s">
        <v>61</v>
      </c>
      <c r="F34" s="24">
        <v>240000</v>
      </c>
      <c r="G34" s="24">
        <v>240000</v>
      </c>
      <c r="H34" s="24">
        <v>240000</v>
      </c>
      <c r="I34" s="24">
        <v>360000</v>
      </c>
      <c r="J34" s="24">
        <v>480000</v>
      </c>
      <c r="K34" s="24">
        <v>600000</v>
      </c>
      <c r="L34" s="25"/>
    </row>
    <row r="35" spans="1:22" ht="15" thickBot="1">
      <c r="A35" s="14"/>
      <c r="B35" s="21"/>
      <c r="C35" s="16" t="s">
        <v>62</v>
      </c>
      <c r="D35" s="17" t="s">
        <v>19</v>
      </c>
      <c r="E35" s="18"/>
      <c r="F35" s="28">
        <f t="shared" ref="F35:K35" si="20">F34/$B$3</f>
        <v>2666.6666666666665</v>
      </c>
      <c r="G35" s="28">
        <f t="shared" si="20"/>
        <v>2666.6666666666665</v>
      </c>
      <c r="H35" s="56">
        <f t="shared" si="20"/>
        <v>2666.6666666666665</v>
      </c>
      <c r="I35" s="28">
        <f t="shared" si="20"/>
        <v>4000</v>
      </c>
      <c r="J35" s="28">
        <f t="shared" si="20"/>
        <v>5333.333333333333</v>
      </c>
      <c r="K35" s="56">
        <f t="shared" si="20"/>
        <v>6666.666666666667</v>
      </c>
      <c r="L35" s="29">
        <f>SUM(F35:K35)</f>
        <v>24000</v>
      </c>
    </row>
    <row r="36" spans="1:22" ht="15" thickBot="1">
      <c r="A36" s="14"/>
      <c r="B36" s="15" t="s">
        <v>63</v>
      </c>
      <c r="C36" s="16" t="s">
        <v>64</v>
      </c>
      <c r="D36" s="17" t="s">
        <v>54</v>
      </c>
      <c r="E36" s="18" t="s">
        <v>65</v>
      </c>
      <c r="F36" s="24">
        <f>U41</f>
        <v>300000</v>
      </c>
      <c r="G36" s="54">
        <f>U41</f>
        <v>300000</v>
      </c>
      <c r="H36" s="58">
        <f>U41</f>
        <v>300000</v>
      </c>
      <c r="I36" s="55">
        <f>U41</f>
        <v>300000</v>
      </c>
      <c r="J36" s="54">
        <f>U41</f>
        <v>300000</v>
      </c>
      <c r="K36" s="58">
        <f>U41</f>
        <v>300000</v>
      </c>
      <c r="L36" s="59"/>
      <c r="N36" t="s">
        <v>66</v>
      </c>
    </row>
    <row r="37" spans="1:22">
      <c r="A37" s="14"/>
      <c r="B37" s="21"/>
      <c r="C37" s="16" t="s">
        <v>67</v>
      </c>
      <c r="D37" s="17" t="s">
        <v>19</v>
      </c>
      <c r="E37" s="18"/>
      <c r="F37" s="28">
        <f t="shared" ref="F37:K37" si="21">F36/$B$3</f>
        <v>3333.3333333333335</v>
      </c>
      <c r="G37" s="28">
        <f t="shared" si="21"/>
        <v>3333.3333333333335</v>
      </c>
      <c r="H37" s="57">
        <f t="shared" si="21"/>
        <v>3333.3333333333335</v>
      </c>
      <c r="I37" s="28">
        <f t="shared" si="21"/>
        <v>3333.3333333333335</v>
      </c>
      <c r="J37" s="28">
        <f t="shared" si="21"/>
        <v>3333.3333333333335</v>
      </c>
      <c r="K37" s="57">
        <f t="shared" si="21"/>
        <v>3333.3333333333335</v>
      </c>
      <c r="L37" s="29">
        <f>SUM(F37:K37)</f>
        <v>20000</v>
      </c>
      <c r="P37" s="51">
        <f>SUM(F36:K36)</f>
        <v>1800000</v>
      </c>
      <c r="R37" t="s">
        <v>68</v>
      </c>
      <c r="S37" t="s">
        <v>69</v>
      </c>
      <c r="T37" t="s">
        <v>70</v>
      </c>
      <c r="U37" t="s">
        <v>71</v>
      </c>
    </row>
    <row r="38" spans="1:22">
      <c r="A38" s="30"/>
      <c r="B38" s="31"/>
      <c r="C38" s="32" t="s">
        <v>72</v>
      </c>
      <c r="D38" s="33" t="s">
        <v>19</v>
      </c>
      <c r="E38" s="34"/>
      <c r="F38" s="35">
        <f t="shared" ref="F38:K38" si="22">F33+F35+F37</f>
        <v>15722.222222222223</v>
      </c>
      <c r="G38" s="35">
        <f t="shared" si="22"/>
        <v>24555.555555555555</v>
      </c>
      <c r="H38" s="35">
        <f t="shared" si="22"/>
        <v>34161.25</v>
      </c>
      <c r="I38" s="35">
        <f t="shared" si="22"/>
        <v>22666.794444444444</v>
      </c>
      <c r="J38" s="35">
        <f t="shared" si="22"/>
        <v>26451.222277777775</v>
      </c>
      <c r="K38" s="35">
        <f t="shared" si="22"/>
        <v>29917.007826111112</v>
      </c>
      <c r="L38" s="36">
        <f>SUM(F38:K38)</f>
        <v>153474.05232611112</v>
      </c>
      <c r="P38">
        <f>P37/B3</f>
        <v>20000</v>
      </c>
      <c r="R38" s="52">
        <v>50000</v>
      </c>
      <c r="S38">
        <v>3</v>
      </c>
      <c r="T38" s="52">
        <f>R38*S38</f>
        <v>150000</v>
      </c>
      <c r="U38" s="53">
        <f>T38/3</f>
        <v>50000</v>
      </c>
    </row>
    <row r="39" spans="1:22">
      <c r="A39" s="14"/>
      <c r="B39" s="21"/>
      <c r="C39" s="16" t="s">
        <v>73</v>
      </c>
      <c r="D39" s="17" t="s">
        <v>54</v>
      </c>
      <c r="E39" s="18" t="s">
        <v>74</v>
      </c>
      <c r="F39" s="26">
        <f t="shared" ref="F39:K39" si="23">6500+25000</f>
        <v>31500</v>
      </c>
      <c r="G39" s="26">
        <f t="shared" si="23"/>
        <v>31500</v>
      </c>
      <c r="H39" s="26">
        <f t="shared" si="23"/>
        <v>31500</v>
      </c>
      <c r="I39" s="26">
        <f t="shared" si="23"/>
        <v>31500</v>
      </c>
      <c r="J39" s="26">
        <f t="shared" si="23"/>
        <v>31500</v>
      </c>
      <c r="K39" s="26">
        <f t="shared" si="23"/>
        <v>31500</v>
      </c>
      <c r="L39" s="25"/>
      <c r="R39" s="52">
        <v>25000</v>
      </c>
      <c r="S39">
        <v>10</v>
      </c>
      <c r="T39" s="52">
        <f>R39*S39</f>
        <v>250000</v>
      </c>
      <c r="U39" s="53">
        <f>T39/3</f>
        <v>83333.333333333328</v>
      </c>
    </row>
    <row r="40" spans="1:22">
      <c r="A40" s="14"/>
      <c r="B40" s="21"/>
      <c r="C40" s="16" t="s">
        <v>75</v>
      </c>
      <c r="D40" s="17" t="s">
        <v>54</v>
      </c>
      <c r="E40" s="18"/>
      <c r="F40" s="26">
        <f t="shared" ref="F40:K40" si="24">IF(F25=0,"-",(F32+F34+F36)/F25)</f>
        <v>5660</v>
      </c>
      <c r="G40" s="26">
        <f t="shared" si="24"/>
        <v>5293.4131736526942</v>
      </c>
      <c r="H40" s="26">
        <f t="shared" si="24"/>
        <v>5458.7642593989967</v>
      </c>
      <c r="I40" s="26">
        <f t="shared" si="24"/>
        <v>2956.5137681823667</v>
      </c>
      <c r="J40" s="26">
        <f t="shared" si="24"/>
        <v>2974.628419869211</v>
      </c>
      <c r="K40" s="26">
        <f t="shared" si="24"/>
        <v>3004.1668996976591</v>
      </c>
      <c r="L40" s="25"/>
      <c r="R40" s="52">
        <v>10000</v>
      </c>
      <c r="S40">
        <v>50</v>
      </c>
      <c r="T40" s="52">
        <f>R40*S40</f>
        <v>500000</v>
      </c>
      <c r="U40" s="53">
        <f>T40/3</f>
        <v>166666.66666666666</v>
      </c>
    </row>
    <row r="41" spans="1:22">
      <c r="A41" s="14"/>
      <c r="B41" s="15" t="s">
        <v>20</v>
      </c>
      <c r="C41" s="60" t="s">
        <v>76</v>
      </c>
      <c r="D41" s="17" t="s">
        <v>54</v>
      </c>
      <c r="E41" s="18" t="s">
        <v>77</v>
      </c>
      <c r="F41" s="69">
        <f>F42*F25+F43</f>
        <v>500000</v>
      </c>
      <c r="G41" s="69">
        <f t="shared" ref="G41:K41" si="25">G42*G25+G43</f>
        <v>1235000</v>
      </c>
      <c r="H41" s="69">
        <f t="shared" si="25"/>
        <v>1526450</v>
      </c>
      <c r="I41" s="69">
        <f t="shared" si="25"/>
        <v>1780011.5</v>
      </c>
      <c r="J41" s="69">
        <f t="shared" si="25"/>
        <v>2000610.0049999999</v>
      </c>
      <c r="K41" s="69">
        <f t="shared" si="25"/>
        <v>2192530.7043500002</v>
      </c>
      <c r="L41" s="25"/>
      <c r="N41" t="s">
        <v>78</v>
      </c>
      <c r="T41" s="53">
        <f>SUM(T38:T40)</f>
        <v>900000</v>
      </c>
      <c r="U41" s="53">
        <f>SUM(U38:U40)</f>
        <v>300000</v>
      </c>
      <c r="V41" t="s">
        <v>79</v>
      </c>
    </row>
    <row r="42" spans="1:22">
      <c r="A42" s="14"/>
      <c r="B42" s="14"/>
      <c r="C42" s="67" t="s">
        <v>80</v>
      </c>
      <c r="D42" s="17" t="s">
        <v>54</v>
      </c>
      <c r="E42" s="18" t="s">
        <v>77</v>
      </c>
      <c r="F42" s="24">
        <v>2000</v>
      </c>
      <c r="G42" s="24">
        <v>2000</v>
      </c>
      <c r="H42" s="24">
        <v>2000</v>
      </c>
      <c r="I42" s="24">
        <v>2000</v>
      </c>
      <c r="J42" s="24">
        <v>2000</v>
      </c>
      <c r="K42" s="24">
        <v>2000</v>
      </c>
      <c r="L42" s="25"/>
      <c r="T42" s="53"/>
      <c r="U42" s="53"/>
    </row>
    <row r="43" spans="1:22" s="65" customFormat="1" ht="14.1">
      <c r="A43" s="63"/>
      <c r="B43" s="63"/>
      <c r="C43" s="67" t="s">
        <v>81</v>
      </c>
      <c r="D43" s="17" t="s">
        <v>54</v>
      </c>
      <c r="E43" s="18"/>
      <c r="F43" s="26"/>
      <c r="G43" s="26">
        <f>G27*G$42</f>
        <v>400000</v>
      </c>
      <c r="H43" s="26">
        <f t="shared" ref="H43:K43" si="26">H27*H$42</f>
        <v>400000</v>
      </c>
      <c r="I43" s="26">
        <f t="shared" si="26"/>
        <v>400000</v>
      </c>
      <c r="J43" s="26">
        <f t="shared" si="26"/>
        <v>400000</v>
      </c>
      <c r="K43" s="26">
        <f t="shared" si="26"/>
        <v>400000</v>
      </c>
      <c r="L43" s="64"/>
      <c r="T43" s="66"/>
      <c r="U43" s="66"/>
    </row>
    <row r="44" spans="1:22">
      <c r="A44" s="14"/>
      <c r="B44" s="21"/>
      <c r="C44" s="60" t="s">
        <v>82</v>
      </c>
      <c r="D44" s="17" t="s">
        <v>54</v>
      </c>
      <c r="E44" s="18" t="s">
        <v>77</v>
      </c>
      <c r="F44" s="26">
        <f>(F$25*F45*1500)+(F$25*F46*1500)</f>
        <v>0</v>
      </c>
      <c r="G44" s="26">
        <f t="shared" ref="G44:K44" si="27">(G$25*G45*1500)+(G$25*G46*1500)</f>
        <v>313125</v>
      </c>
      <c r="H44" s="26">
        <f t="shared" si="27"/>
        <v>591386.25</v>
      </c>
      <c r="I44" s="26">
        <f t="shared" si="27"/>
        <v>517504.31250000012</v>
      </c>
      <c r="J44" s="26">
        <f t="shared" si="27"/>
        <v>840320.25262499996</v>
      </c>
      <c r="K44" s="26">
        <f t="shared" si="27"/>
        <v>941078.61978375004</v>
      </c>
      <c r="L44" s="25"/>
      <c r="N44" t="s">
        <v>83</v>
      </c>
    </row>
    <row r="45" spans="1:22">
      <c r="A45" s="14"/>
      <c r="B45" s="21"/>
      <c r="C45" s="67" t="s">
        <v>84</v>
      </c>
      <c r="D45" s="17" t="s">
        <v>54</v>
      </c>
      <c r="E45" s="61" t="s">
        <v>29</v>
      </c>
      <c r="F45" s="37"/>
      <c r="G45" s="37">
        <v>0.4</v>
      </c>
      <c r="H45" s="37">
        <v>0.5</v>
      </c>
      <c r="I45" s="37">
        <v>0.4</v>
      </c>
      <c r="J45" s="37">
        <v>0.5</v>
      </c>
      <c r="K45" s="37">
        <v>0.5</v>
      </c>
      <c r="L45" s="25"/>
      <c r="O45" t="s">
        <v>85</v>
      </c>
    </row>
    <row r="46" spans="1:22">
      <c r="A46" s="14"/>
      <c r="B46" s="21"/>
      <c r="C46" s="67" t="s">
        <v>86</v>
      </c>
      <c r="D46" s="17" t="s">
        <v>54</v>
      </c>
      <c r="E46" s="61" t="s">
        <v>29</v>
      </c>
      <c r="F46" s="37"/>
      <c r="G46" s="37">
        <v>0.1</v>
      </c>
      <c r="H46" s="37">
        <v>0.2</v>
      </c>
      <c r="I46" s="37">
        <v>0.1</v>
      </c>
      <c r="J46" s="37">
        <v>0.2</v>
      </c>
      <c r="K46" s="37">
        <v>0.2</v>
      </c>
      <c r="L46" s="25"/>
      <c r="O46" t="s">
        <v>87</v>
      </c>
    </row>
    <row r="47" spans="1:22">
      <c r="A47" s="14"/>
      <c r="B47" s="21"/>
      <c r="C47" s="16" t="s">
        <v>88</v>
      </c>
      <c r="D47" s="17" t="s">
        <v>54</v>
      </c>
      <c r="E47" s="18"/>
      <c r="F47" s="26">
        <f>F41+F44</f>
        <v>500000</v>
      </c>
      <c r="G47" s="26">
        <f t="shared" ref="G47:K47" si="28">G41+G44</f>
        <v>1548125</v>
      </c>
      <c r="H47" s="26">
        <f t="shared" si="28"/>
        <v>2117836.25</v>
      </c>
      <c r="I47" s="26">
        <f t="shared" si="28"/>
        <v>2297515.8125</v>
      </c>
      <c r="J47" s="26">
        <f t="shared" si="28"/>
        <v>2840930.2576249996</v>
      </c>
      <c r="K47" s="26">
        <f t="shared" si="28"/>
        <v>3133609.3241337501</v>
      </c>
      <c r="L47" s="27">
        <f>SUM(F47:K47)</f>
        <v>12438016.644258749</v>
      </c>
    </row>
    <row r="48" spans="1:22">
      <c r="A48" s="14"/>
      <c r="B48" s="21"/>
      <c r="C48" s="16" t="s">
        <v>89</v>
      </c>
      <c r="D48" s="17" t="s">
        <v>19</v>
      </c>
      <c r="E48" s="18"/>
      <c r="F48" s="28">
        <f t="shared" ref="F48:K48" si="29">F47/$B$3</f>
        <v>5555.5555555555557</v>
      </c>
      <c r="G48" s="28">
        <f t="shared" si="29"/>
        <v>17201.388888888891</v>
      </c>
      <c r="H48" s="28">
        <f t="shared" si="29"/>
        <v>23531.513888888891</v>
      </c>
      <c r="I48" s="28">
        <f t="shared" si="29"/>
        <v>25527.953472222223</v>
      </c>
      <c r="J48" s="28">
        <f t="shared" si="29"/>
        <v>31565.891751388885</v>
      </c>
      <c r="K48" s="28">
        <f t="shared" si="29"/>
        <v>34817.88137926389</v>
      </c>
      <c r="L48" s="29">
        <f>SUM(F48:K48)</f>
        <v>138200.18493620833</v>
      </c>
    </row>
    <row r="49" spans="1:14">
      <c r="A49" s="14"/>
      <c r="B49" s="21"/>
      <c r="C49" s="16" t="s">
        <v>90</v>
      </c>
      <c r="D49" s="17" t="s">
        <v>54</v>
      </c>
      <c r="E49" s="18" t="s">
        <v>91</v>
      </c>
      <c r="F49" s="26">
        <f t="shared" ref="F49:K49" si="30">IF(F30=0,"-",F47/F30)</f>
        <v>200</v>
      </c>
      <c r="G49" s="26">
        <f t="shared" si="30"/>
        <v>309.00698602794409</v>
      </c>
      <c r="H49" s="26">
        <f t="shared" si="30"/>
        <v>250.67971651353071</v>
      </c>
      <c r="I49" s="26">
        <f t="shared" si="30"/>
        <v>275.80993776882281</v>
      </c>
      <c r="J49" s="26">
        <f t="shared" si="30"/>
        <v>352.77692908967117</v>
      </c>
      <c r="K49" s="26">
        <f t="shared" si="30"/>
        <v>347.68998015639818</v>
      </c>
      <c r="L49" s="25"/>
    </row>
    <row r="50" spans="1:14">
      <c r="A50" s="30"/>
      <c r="B50" s="31"/>
      <c r="C50" s="32" t="s">
        <v>92</v>
      </c>
      <c r="D50" s="33" t="s">
        <v>19</v>
      </c>
      <c r="E50" s="34"/>
      <c r="F50" s="35">
        <f t="shared" ref="F50:K50" si="31">F38+F48</f>
        <v>21277.777777777777</v>
      </c>
      <c r="G50" s="35">
        <f t="shared" si="31"/>
        <v>41756.944444444445</v>
      </c>
      <c r="H50" s="35">
        <f t="shared" si="31"/>
        <v>57692.763888888891</v>
      </c>
      <c r="I50" s="35">
        <f t="shared" si="31"/>
        <v>48194.747916666667</v>
      </c>
      <c r="J50" s="35">
        <f t="shared" si="31"/>
        <v>58017.11402916666</v>
      </c>
      <c r="K50" s="35">
        <f t="shared" si="31"/>
        <v>64734.889205375002</v>
      </c>
      <c r="L50" s="36">
        <f>SUM(F50:K50)</f>
        <v>291674.23726231942</v>
      </c>
    </row>
    <row r="51" spans="1:14" ht="27.75" customHeight="1">
      <c r="A51" s="83" t="s">
        <v>93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</row>
    <row r="52" spans="1:14">
      <c r="A52" s="14" t="s">
        <v>22</v>
      </c>
      <c r="B52" s="15" t="s">
        <v>94</v>
      </c>
      <c r="C52" s="16" t="s">
        <v>23</v>
      </c>
      <c r="D52" s="17" t="s">
        <v>16</v>
      </c>
      <c r="E52" s="18" t="s">
        <v>45</v>
      </c>
      <c r="F52" s="62">
        <v>12000</v>
      </c>
      <c r="G52" s="62">
        <v>25000</v>
      </c>
      <c r="H52" s="62">
        <v>49371</v>
      </c>
      <c r="I52" s="62">
        <v>120000</v>
      </c>
      <c r="J52" s="62">
        <v>220000</v>
      </c>
      <c r="K52" s="62">
        <v>330000</v>
      </c>
      <c r="L52" s="20"/>
      <c r="N52" t="s">
        <v>95</v>
      </c>
    </row>
    <row r="53" spans="1:14">
      <c r="A53" s="14"/>
      <c r="B53" s="21"/>
      <c r="C53" s="16" t="s">
        <v>100</v>
      </c>
      <c r="D53" s="17" t="s">
        <v>29</v>
      </c>
      <c r="E53" s="18"/>
      <c r="F53" s="37">
        <v>0.15</v>
      </c>
      <c r="G53" s="37">
        <v>0.16</v>
      </c>
      <c r="H53" s="37">
        <v>0.17</v>
      </c>
      <c r="I53" s="37">
        <v>0.18</v>
      </c>
      <c r="J53" s="37">
        <v>0.19</v>
      </c>
      <c r="K53" s="37">
        <v>0.2</v>
      </c>
      <c r="L53" s="38"/>
    </row>
    <row r="54" spans="1:14">
      <c r="A54" s="14"/>
      <c r="B54" s="21"/>
      <c r="C54" s="16" t="s">
        <v>101</v>
      </c>
      <c r="D54" s="17" t="s">
        <v>16</v>
      </c>
      <c r="E54" s="18"/>
      <c r="F54" s="22">
        <f t="shared" ref="F54:K54" si="32">ROUND(F52*F53,0)</f>
        <v>1800</v>
      </c>
      <c r="G54" s="22">
        <f t="shared" si="32"/>
        <v>4000</v>
      </c>
      <c r="H54" s="22">
        <f t="shared" si="32"/>
        <v>8393</v>
      </c>
      <c r="I54" s="22">
        <f t="shared" si="32"/>
        <v>21600</v>
      </c>
      <c r="J54" s="22">
        <f t="shared" si="32"/>
        <v>41800</v>
      </c>
      <c r="K54" s="22">
        <f t="shared" si="32"/>
        <v>66000</v>
      </c>
      <c r="L54" s="23">
        <f>SUM(F54:K54)</f>
        <v>143593</v>
      </c>
    </row>
    <row r="55" spans="1:14">
      <c r="A55" s="14"/>
      <c r="B55" s="15" t="s">
        <v>102</v>
      </c>
      <c r="C55" s="16" t="s">
        <v>103</v>
      </c>
      <c r="D55" s="17" t="s">
        <v>29</v>
      </c>
      <c r="E55" s="18"/>
      <c r="F55" s="37">
        <v>0</v>
      </c>
      <c r="G55" s="37">
        <v>0</v>
      </c>
      <c r="H55" s="37">
        <v>0.1</v>
      </c>
      <c r="I55" s="37">
        <v>0.2</v>
      </c>
      <c r="J55" s="37">
        <v>0.3</v>
      </c>
      <c r="K55" s="37">
        <v>0.3</v>
      </c>
      <c r="L55" s="38"/>
    </row>
    <row r="56" spans="1:14">
      <c r="A56" s="14"/>
      <c r="B56" s="21"/>
      <c r="C56" s="16" t="s">
        <v>104</v>
      </c>
      <c r="D56" s="17" t="s">
        <v>16</v>
      </c>
      <c r="E56" s="18"/>
      <c r="F56" s="22">
        <f t="shared" ref="F56:K56" si="33">ROUND(F52*F55,0)</f>
        <v>0</v>
      </c>
      <c r="G56" s="22">
        <f t="shared" si="33"/>
        <v>0</v>
      </c>
      <c r="H56" s="22">
        <f t="shared" si="33"/>
        <v>4937</v>
      </c>
      <c r="I56" s="22">
        <f t="shared" si="33"/>
        <v>24000</v>
      </c>
      <c r="J56" s="22">
        <f t="shared" si="33"/>
        <v>66000</v>
      </c>
      <c r="K56" s="22">
        <f t="shared" si="33"/>
        <v>99000</v>
      </c>
      <c r="L56" s="23">
        <f>SUM(F56:K56)</f>
        <v>193937</v>
      </c>
    </row>
    <row r="57" spans="1:14">
      <c r="A57" s="14"/>
      <c r="B57" s="15" t="s">
        <v>105</v>
      </c>
      <c r="C57" s="16" t="s">
        <v>106</v>
      </c>
      <c r="D57" s="17" t="s">
        <v>19</v>
      </c>
      <c r="E57" s="18"/>
      <c r="F57" s="73">
        <v>0.2</v>
      </c>
      <c r="G57" s="73">
        <v>0.5</v>
      </c>
      <c r="H57" s="73">
        <v>0.9</v>
      </c>
      <c r="I57" s="73">
        <v>0.8</v>
      </c>
      <c r="J57" s="73">
        <v>0.7</v>
      </c>
      <c r="K57" s="73">
        <v>0.6</v>
      </c>
      <c r="L57" s="40"/>
    </row>
    <row r="58" spans="1:14">
      <c r="A58" s="14"/>
      <c r="B58" s="21"/>
      <c r="C58" s="16" t="s">
        <v>107</v>
      </c>
      <c r="D58" s="17" t="s">
        <v>19</v>
      </c>
      <c r="E58" s="18"/>
      <c r="F58" s="28">
        <f t="shared" ref="F58:K58" si="34">F56*F57</f>
        <v>0</v>
      </c>
      <c r="G58" s="28">
        <f t="shared" si="34"/>
        <v>0</v>
      </c>
      <c r="H58" s="28">
        <f t="shared" si="34"/>
        <v>4443.3</v>
      </c>
      <c r="I58" s="28">
        <f t="shared" si="34"/>
        <v>19200</v>
      </c>
      <c r="J58" s="28">
        <f t="shared" si="34"/>
        <v>46200</v>
      </c>
      <c r="K58" s="28">
        <f t="shared" si="34"/>
        <v>59400</v>
      </c>
      <c r="L58" s="29">
        <f>SUM(F58:K58)</f>
        <v>129243.3</v>
      </c>
    </row>
    <row r="59" spans="1:14">
      <c r="A59" s="14"/>
      <c r="B59" s="21"/>
      <c r="C59" s="16" t="s">
        <v>108</v>
      </c>
      <c r="D59" s="17" t="s">
        <v>19</v>
      </c>
      <c r="E59" s="18"/>
      <c r="F59" s="28">
        <f t="shared" ref="F59:K59" si="35">IF(F52=0,"-",F58/F52)</f>
        <v>0</v>
      </c>
      <c r="G59" s="28">
        <f t="shared" si="35"/>
        <v>0</v>
      </c>
      <c r="H59" s="28">
        <f t="shared" si="35"/>
        <v>8.9998177067509275E-2</v>
      </c>
      <c r="I59" s="28">
        <f t="shared" si="35"/>
        <v>0.16</v>
      </c>
      <c r="J59" s="28">
        <f t="shared" si="35"/>
        <v>0.21</v>
      </c>
      <c r="K59" s="28">
        <f t="shared" si="35"/>
        <v>0.18</v>
      </c>
      <c r="L59" s="40"/>
    </row>
    <row r="60" spans="1:14" ht="27.75" customHeight="1">
      <c r="A60" s="84" t="s">
        <v>109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</row>
    <row r="61" spans="1:14">
      <c r="A61" s="14" t="s">
        <v>26</v>
      </c>
      <c r="B61" s="15" t="s">
        <v>110</v>
      </c>
      <c r="C61" s="16" t="s">
        <v>111</v>
      </c>
      <c r="D61" s="17" t="s">
        <v>16</v>
      </c>
      <c r="E61" s="18"/>
      <c r="F61" s="19">
        <v>16</v>
      </c>
      <c r="G61" s="19">
        <v>16</v>
      </c>
      <c r="H61" s="19">
        <v>16</v>
      </c>
      <c r="I61" s="19">
        <v>16</v>
      </c>
      <c r="J61" s="19">
        <v>16</v>
      </c>
      <c r="K61" s="19">
        <v>16</v>
      </c>
      <c r="L61" s="20"/>
    </row>
    <row r="62" spans="1:14">
      <c r="A62" s="14"/>
      <c r="B62" s="21"/>
      <c r="C62" s="16" t="s">
        <v>112</v>
      </c>
      <c r="D62" s="17" t="s">
        <v>16</v>
      </c>
      <c r="E62" s="18"/>
      <c r="F62" s="19">
        <v>4</v>
      </c>
      <c r="G62" s="19">
        <v>4</v>
      </c>
      <c r="H62" s="19">
        <v>4</v>
      </c>
      <c r="I62" s="19">
        <v>4</v>
      </c>
      <c r="J62" s="19">
        <v>4</v>
      </c>
      <c r="K62" s="19">
        <v>4</v>
      </c>
      <c r="L62" s="20"/>
    </row>
    <row r="63" spans="1:14">
      <c r="A63" s="14"/>
      <c r="B63" s="15" t="s">
        <v>28</v>
      </c>
      <c r="C63" s="16" t="s">
        <v>113</v>
      </c>
      <c r="D63" s="17" t="s">
        <v>29</v>
      </c>
      <c r="E63" s="18"/>
      <c r="F63" s="37">
        <v>0.7</v>
      </c>
      <c r="G63" s="37">
        <v>0.75</v>
      </c>
      <c r="H63" s="37">
        <v>0.8</v>
      </c>
      <c r="I63" s="37">
        <v>0.85</v>
      </c>
      <c r="J63" s="37">
        <v>0.9</v>
      </c>
      <c r="K63" s="37">
        <v>0.8</v>
      </c>
      <c r="L63" s="38"/>
    </row>
    <row r="64" spans="1:14">
      <c r="A64" s="14"/>
      <c r="B64" s="21"/>
      <c r="C64" s="16" t="s">
        <v>114</v>
      </c>
      <c r="D64" s="17" t="s">
        <v>16</v>
      </c>
      <c r="E64" s="18"/>
      <c r="F64" s="19">
        <v>10</v>
      </c>
      <c r="G64" s="19">
        <v>10</v>
      </c>
      <c r="H64" s="19">
        <v>10</v>
      </c>
      <c r="I64" s="19">
        <v>10</v>
      </c>
      <c r="J64" s="19">
        <v>10</v>
      </c>
      <c r="K64" s="19">
        <v>10</v>
      </c>
      <c r="L64" s="20"/>
    </row>
    <row r="65" spans="1:12">
      <c r="A65" s="14"/>
      <c r="B65" s="15" t="s">
        <v>91</v>
      </c>
      <c r="C65" s="16" t="s">
        <v>115</v>
      </c>
      <c r="D65" s="17" t="s">
        <v>16</v>
      </c>
      <c r="E65" s="18"/>
      <c r="F65" s="22">
        <f>ROUND(F30*F61*F62*F63,0)</f>
        <v>112000</v>
      </c>
      <c r="G65" s="22">
        <f>ROUND(G30*G61*G62*G63,0)</f>
        <v>240480</v>
      </c>
      <c r="H65" s="22">
        <f>ROUND(H30*H61*H62*H63,0)</f>
        <v>432557</v>
      </c>
      <c r="I65" s="22">
        <f>ROUND(I30*I61*I62*I63,0)</f>
        <v>453156</v>
      </c>
      <c r="J65" s="22">
        <f>ROUND(J30*J61*J62*J63,0)</f>
        <v>463856</v>
      </c>
      <c r="K65" s="22">
        <f>ROUND(K30*K61*K62*K63,0)</f>
        <v>461448</v>
      </c>
      <c r="L65" s="23">
        <f>SUM(F65:K65)</f>
        <v>2163497</v>
      </c>
    </row>
    <row r="66" spans="1:12">
      <c r="A66" s="14"/>
      <c r="B66" s="21"/>
      <c r="C66" s="16" t="s">
        <v>116</v>
      </c>
      <c r="D66" s="17" t="s">
        <v>16</v>
      </c>
      <c r="E66" s="18"/>
      <c r="F66" s="22">
        <f>IF(F30=0,"-",F65/F30)</f>
        <v>44.8</v>
      </c>
      <c r="G66" s="22">
        <f>IF(G30=0,"-",G65/G30)</f>
        <v>48</v>
      </c>
      <c r="H66" s="22">
        <f>IF(H30=0,"-",H65/H30)</f>
        <v>51.200023673191588</v>
      </c>
      <c r="I66" s="22">
        <f>IF(I30=0,"-",I65/I30)</f>
        <v>54.400029579586921</v>
      </c>
      <c r="J66" s="22">
        <f>IF(J30=0,"-",J65/J30)</f>
        <v>57.60003955768299</v>
      </c>
      <c r="K66" s="22">
        <f>IF(K30=0,"-",K65/K30)</f>
        <v>51.20001549892045</v>
      </c>
      <c r="L66" s="20"/>
    </row>
    <row r="67" spans="1:12">
      <c r="A67" s="14"/>
      <c r="B67" s="21"/>
      <c r="C67" s="16" t="s">
        <v>117</v>
      </c>
      <c r="D67" s="17" t="s">
        <v>16</v>
      </c>
      <c r="E67" s="18"/>
      <c r="F67" s="22">
        <f t="shared" ref="F67:K67" si="36">IF(F64=0,"-",ROUND(F65/F64,0))</f>
        <v>11200</v>
      </c>
      <c r="G67" s="22">
        <f t="shared" si="36"/>
        <v>24048</v>
      </c>
      <c r="H67" s="22">
        <f t="shared" si="36"/>
        <v>43256</v>
      </c>
      <c r="I67" s="22">
        <f t="shared" si="36"/>
        <v>45316</v>
      </c>
      <c r="J67" s="22">
        <f t="shared" si="36"/>
        <v>46386</v>
      </c>
      <c r="K67" s="22">
        <f t="shared" si="36"/>
        <v>46145</v>
      </c>
      <c r="L67" s="23">
        <f>SUM(F67:K67)</f>
        <v>216351</v>
      </c>
    </row>
    <row r="68" spans="1:12">
      <c r="A68" s="14"/>
      <c r="B68" s="21"/>
      <c r="C68" s="16" t="s">
        <v>118</v>
      </c>
      <c r="D68" s="17" t="s">
        <v>29</v>
      </c>
      <c r="E68" s="18"/>
      <c r="F68" s="41">
        <f>IF(F52=0,"-",F67/F52)</f>
        <v>0.93333333333333335</v>
      </c>
      <c r="G68" s="41">
        <f>IF(G52=0,"-",G67/G52)</f>
        <v>0.96192</v>
      </c>
      <c r="H68" s="41">
        <f>IF(H52=0,"-",H67/H52)</f>
        <v>0.87614186465738997</v>
      </c>
      <c r="I68" s="41">
        <f>IF(I52=0,"-",I67/I52)</f>
        <v>0.37763333333333332</v>
      </c>
      <c r="J68" s="41">
        <f>IF(J52=0,"-",J67/J52)</f>
        <v>0.21084545454545456</v>
      </c>
      <c r="K68" s="41">
        <f>IF(K52=0,"-",K67/K52)</f>
        <v>0.13983333333333334</v>
      </c>
      <c r="L68" s="38"/>
    </row>
    <row r="69" spans="1:12">
      <c r="A69" s="14"/>
      <c r="B69" s="15" t="s">
        <v>119</v>
      </c>
      <c r="C69" s="16" t="s">
        <v>120</v>
      </c>
      <c r="D69" s="17" t="s">
        <v>54</v>
      </c>
      <c r="E69" s="18" t="s">
        <v>121</v>
      </c>
      <c r="F69" s="24">
        <v>100</v>
      </c>
      <c r="G69" s="24">
        <v>100</v>
      </c>
      <c r="H69" s="24">
        <v>100</v>
      </c>
      <c r="I69" s="24">
        <v>100</v>
      </c>
      <c r="J69" s="24">
        <v>100</v>
      </c>
      <c r="K69" s="24">
        <v>100</v>
      </c>
      <c r="L69" s="25"/>
    </row>
    <row r="70" spans="1:12">
      <c r="A70" s="14"/>
      <c r="B70" s="21"/>
      <c r="C70" s="16" t="s">
        <v>122</v>
      </c>
      <c r="D70" s="17" t="s">
        <v>54</v>
      </c>
      <c r="E70" s="18"/>
      <c r="F70" s="26">
        <f>IF(F65=0,"-",F47/F65)</f>
        <v>4.4642857142857144</v>
      </c>
      <c r="G70" s="26">
        <f>IF(G65=0,"-",G47/G65)</f>
        <v>6.4376455422488359</v>
      </c>
      <c r="H70" s="26">
        <f>IF(H65=0,"-",H47/H65)</f>
        <v>4.8960859493662108</v>
      </c>
      <c r="I70" s="26">
        <f>IF(I65=0,"-",I47/I65)</f>
        <v>5.0700328639585486</v>
      </c>
      <c r="J70" s="26">
        <f>IF(J65=0,"-",J47/J65)</f>
        <v>6.1245952572026656</v>
      </c>
      <c r="K70" s="26">
        <f>IF(K65=0,"-",K47/K65)</f>
        <v>6.7908178692588335</v>
      </c>
      <c r="L70" s="25"/>
    </row>
    <row r="71" spans="1:12" ht="27.75" customHeight="1">
      <c r="A71" s="85" t="s">
        <v>123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</row>
    <row r="72" spans="1:12">
      <c r="A72" s="14" t="s">
        <v>124</v>
      </c>
      <c r="B72" s="15" t="s">
        <v>125</v>
      </c>
      <c r="C72" s="16" t="s">
        <v>126</v>
      </c>
      <c r="D72" s="17" t="s">
        <v>19</v>
      </c>
      <c r="E72" s="18" t="s">
        <v>45</v>
      </c>
      <c r="F72" s="28">
        <f t="shared" ref="F72:K72" si="37">F38</f>
        <v>15722.222222222223</v>
      </c>
      <c r="G72" s="28">
        <f t="shared" si="37"/>
        <v>24555.555555555555</v>
      </c>
      <c r="H72" s="28">
        <f t="shared" si="37"/>
        <v>34161.25</v>
      </c>
      <c r="I72" s="28">
        <f t="shared" si="37"/>
        <v>22666.794444444444</v>
      </c>
      <c r="J72" s="28">
        <f t="shared" si="37"/>
        <v>26451.222277777775</v>
      </c>
      <c r="K72" s="28">
        <f t="shared" si="37"/>
        <v>29917.007826111112</v>
      </c>
      <c r="L72" s="29">
        <f t="shared" ref="L72:L86" si="38">SUM(F72:K72)</f>
        <v>153474.05232611112</v>
      </c>
    </row>
    <row r="73" spans="1:12">
      <c r="A73" s="14"/>
      <c r="B73" s="15" t="s">
        <v>127</v>
      </c>
      <c r="C73" s="16" t="s">
        <v>128</v>
      </c>
      <c r="D73" s="17" t="s">
        <v>19</v>
      </c>
      <c r="E73" s="18" t="s">
        <v>45</v>
      </c>
      <c r="F73" s="39"/>
      <c r="G73" s="39"/>
      <c r="H73" s="39">
        <v>5000</v>
      </c>
      <c r="I73" s="39">
        <v>5000</v>
      </c>
      <c r="J73" s="39">
        <v>5000</v>
      </c>
      <c r="K73" s="39">
        <v>5000</v>
      </c>
      <c r="L73" s="29">
        <f t="shared" si="38"/>
        <v>20000</v>
      </c>
    </row>
    <row r="74" spans="1:12">
      <c r="A74" s="14"/>
      <c r="B74" s="15" t="s">
        <v>129</v>
      </c>
      <c r="C74" s="16" t="s">
        <v>130</v>
      </c>
      <c r="D74" s="17" t="s">
        <v>19</v>
      </c>
      <c r="E74" s="18" t="s">
        <v>45</v>
      </c>
      <c r="F74" s="28">
        <f t="shared" ref="F74:K74" si="39">F48</f>
        <v>5555.5555555555557</v>
      </c>
      <c r="G74" s="28">
        <f t="shared" si="39"/>
        <v>17201.388888888891</v>
      </c>
      <c r="H74" s="28">
        <f t="shared" si="39"/>
        <v>23531.513888888891</v>
      </c>
      <c r="I74" s="28">
        <f t="shared" si="39"/>
        <v>25527.953472222223</v>
      </c>
      <c r="J74" s="28">
        <f t="shared" si="39"/>
        <v>31565.891751388885</v>
      </c>
      <c r="K74" s="28">
        <f t="shared" si="39"/>
        <v>34817.88137926389</v>
      </c>
      <c r="L74" s="29">
        <f t="shared" si="38"/>
        <v>138200.18493620833</v>
      </c>
    </row>
    <row r="75" spans="1:12">
      <c r="A75" s="14"/>
      <c r="B75" s="15" t="s">
        <v>131</v>
      </c>
      <c r="C75" s="16" t="s">
        <v>132</v>
      </c>
      <c r="D75" s="17" t="s">
        <v>19</v>
      </c>
      <c r="E75" s="18" t="s">
        <v>133</v>
      </c>
      <c r="F75" s="39"/>
      <c r="G75" s="39"/>
      <c r="H75" s="39">
        <v>15000</v>
      </c>
      <c r="I75" s="39">
        <v>15000</v>
      </c>
      <c r="J75" s="39">
        <v>15000</v>
      </c>
      <c r="K75" s="39"/>
      <c r="L75" s="29">
        <f t="shared" si="38"/>
        <v>45000</v>
      </c>
    </row>
    <row r="76" spans="1:12">
      <c r="A76" s="14"/>
      <c r="B76" s="15" t="s">
        <v>134</v>
      </c>
      <c r="C76" s="16" t="s">
        <v>135</v>
      </c>
      <c r="D76" s="17" t="s">
        <v>19</v>
      </c>
      <c r="E76" s="18" t="s">
        <v>133</v>
      </c>
      <c r="F76" s="39"/>
      <c r="G76" s="39"/>
      <c r="H76" s="39">
        <v>15000</v>
      </c>
      <c r="I76" s="39"/>
      <c r="J76" s="39">
        <v>15000</v>
      </c>
      <c r="K76" s="39"/>
      <c r="L76" s="29">
        <f t="shared" si="38"/>
        <v>30000</v>
      </c>
    </row>
    <row r="77" spans="1:12">
      <c r="A77" s="14"/>
      <c r="B77" s="15" t="s">
        <v>136</v>
      </c>
      <c r="C77" s="16" t="s">
        <v>137</v>
      </c>
      <c r="D77" s="17" t="s">
        <v>19</v>
      </c>
      <c r="E77" s="18" t="s">
        <v>45</v>
      </c>
      <c r="F77" s="39"/>
      <c r="G77" s="39"/>
      <c r="H77" s="39">
        <v>2000</v>
      </c>
      <c r="I77" s="39">
        <v>2000</v>
      </c>
      <c r="J77" s="39">
        <v>2000</v>
      </c>
      <c r="K77" s="39">
        <v>2000</v>
      </c>
      <c r="L77" s="29">
        <f t="shared" si="38"/>
        <v>8000</v>
      </c>
    </row>
    <row r="78" spans="1:12">
      <c r="A78" s="14"/>
      <c r="B78" s="15" t="s">
        <v>138</v>
      </c>
      <c r="C78" s="16" t="s">
        <v>139</v>
      </c>
      <c r="D78" s="17" t="s">
        <v>19</v>
      </c>
      <c r="E78" s="18" t="s">
        <v>45</v>
      </c>
      <c r="F78" s="39">
        <v>5000</v>
      </c>
      <c r="G78" s="39">
        <v>3000</v>
      </c>
      <c r="H78" s="39"/>
      <c r="I78" s="39">
        <v>5000</v>
      </c>
      <c r="J78" s="39">
        <v>3000</v>
      </c>
      <c r="K78" s="39"/>
      <c r="L78" s="29">
        <f t="shared" si="38"/>
        <v>16000</v>
      </c>
    </row>
    <row r="79" spans="1:12">
      <c r="A79" s="14"/>
      <c r="B79" s="15" t="s">
        <v>140</v>
      </c>
      <c r="C79" s="16" t="s">
        <v>141</v>
      </c>
      <c r="D79" s="17" t="s">
        <v>19</v>
      </c>
      <c r="E79" s="18" t="s">
        <v>133</v>
      </c>
      <c r="F79" s="39"/>
      <c r="G79" s="39"/>
      <c r="H79" s="39">
        <v>2000</v>
      </c>
      <c r="I79" s="39"/>
      <c r="J79" s="39">
        <v>2000</v>
      </c>
      <c r="K79" s="39"/>
      <c r="L79" s="29">
        <f t="shared" si="38"/>
        <v>4000</v>
      </c>
    </row>
    <row r="80" spans="1:12">
      <c r="A80" s="14" t="s">
        <v>142</v>
      </c>
      <c r="B80" s="15" t="s">
        <v>143</v>
      </c>
      <c r="C80" s="16" t="s">
        <v>144</v>
      </c>
      <c r="D80" s="17" t="s">
        <v>19</v>
      </c>
      <c r="E80" s="18" t="s">
        <v>145</v>
      </c>
      <c r="F80" s="39"/>
      <c r="G80" s="39"/>
      <c r="H80" s="39"/>
      <c r="I80" s="39">
        <v>20000</v>
      </c>
      <c r="J80" s="39"/>
      <c r="K80" s="39"/>
      <c r="L80" s="29">
        <f t="shared" si="38"/>
        <v>20000</v>
      </c>
    </row>
    <row r="81" spans="1:12">
      <c r="A81" s="14"/>
      <c r="B81" s="15" t="s">
        <v>146</v>
      </c>
      <c r="C81" s="16" t="s">
        <v>147</v>
      </c>
      <c r="D81" s="17" t="s">
        <v>19</v>
      </c>
      <c r="E81" s="18"/>
      <c r="F81" s="28">
        <f t="shared" ref="F81:K81" si="40">F72+F74</f>
        <v>21277.777777777777</v>
      </c>
      <c r="G81" s="28">
        <f t="shared" si="40"/>
        <v>41756.944444444445</v>
      </c>
      <c r="H81" s="28">
        <f t="shared" si="40"/>
        <v>57692.763888888891</v>
      </c>
      <c r="I81" s="28">
        <f t="shared" si="40"/>
        <v>48194.747916666667</v>
      </c>
      <c r="J81" s="28">
        <f t="shared" si="40"/>
        <v>58017.11402916666</v>
      </c>
      <c r="K81" s="28">
        <f t="shared" si="40"/>
        <v>64734.889205375002</v>
      </c>
      <c r="L81" s="29">
        <f t="shared" si="38"/>
        <v>291674.23726231942</v>
      </c>
    </row>
    <row r="82" spans="1:12">
      <c r="A82" s="14"/>
      <c r="B82" s="21"/>
      <c r="C82" s="16" t="s">
        <v>148</v>
      </c>
      <c r="D82" s="17" t="s">
        <v>19</v>
      </c>
      <c r="E82" s="18"/>
      <c r="F82" s="28">
        <f t="shared" ref="F82:K82" si="41">F58</f>
        <v>0</v>
      </c>
      <c r="G82" s="28">
        <f t="shared" si="41"/>
        <v>0</v>
      </c>
      <c r="H82" s="28">
        <f t="shared" si="41"/>
        <v>4443.3</v>
      </c>
      <c r="I82" s="28">
        <f t="shared" si="41"/>
        <v>19200</v>
      </c>
      <c r="J82" s="28">
        <f t="shared" si="41"/>
        <v>46200</v>
      </c>
      <c r="K82" s="28">
        <f t="shared" si="41"/>
        <v>59400</v>
      </c>
      <c r="L82" s="29">
        <f t="shared" si="38"/>
        <v>129243.3</v>
      </c>
    </row>
    <row r="83" spans="1:12">
      <c r="A83" s="14"/>
      <c r="B83" s="21"/>
      <c r="C83" s="16" t="s">
        <v>149</v>
      </c>
      <c r="D83" s="17" t="s">
        <v>19</v>
      </c>
      <c r="E83" s="18"/>
      <c r="F83" s="28">
        <f t="shared" ref="F83:K83" si="42">F73+F75+F76+F77+F78+F79+F80</f>
        <v>5000</v>
      </c>
      <c r="G83" s="28">
        <f t="shared" si="42"/>
        <v>3000</v>
      </c>
      <c r="H83" s="28">
        <f t="shared" si="42"/>
        <v>39000</v>
      </c>
      <c r="I83" s="28">
        <f t="shared" si="42"/>
        <v>47000</v>
      </c>
      <c r="J83" s="28">
        <f t="shared" si="42"/>
        <v>42000</v>
      </c>
      <c r="K83" s="28">
        <f t="shared" si="42"/>
        <v>7000</v>
      </c>
      <c r="L83" s="29">
        <f t="shared" si="38"/>
        <v>143000</v>
      </c>
    </row>
    <row r="84" spans="1:12">
      <c r="A84" s="30"/>
      <c r="B84" s="31"/>
      <c r="C84" s="32" t="s">
        <v>150</v>
      </c>
      <c r="D84" s="33" t="s">
        <v>19</v>
      </c>
      <c r="E84" s="34"/>
      <c r="F84" s="35">
        <f t="shared" ref="F84:K84" si="43">F81+F82+F83</f>
        <v>26277.777777777777</v>
      </c>
      <c r="G84" s="35">
        <f t="shared" si="43"/>
        <v>44756.944444444445</v>
      </c>
      <c r="H84" s="35">
        <f t="shared" si="43"/>
        <v>101136.06388888889</v>
      </c>
      <c r="I84" s="35">
        <f t="shared" si="43"/>
        <v>114394.74791666667</v>
      </c>
      <c r="J84" s="35">
        <f t="shared" si="43"/>
        <v>146217.11402916667</v>
      </c>
      <c r="K84" s="35">
        <f t="shared" si="43"/>
        <v>131134.88920537499</v>
      </c>
      <c r="L84" s="36">
        <f t="shared" si="38"/>
        <v>563917.53726231947</v>
      </c>
    </row>
    <row r="85" spans="1:12">
      <c r="A85" s="14"/>
      <c r="B85" s="15" t="s">
        <v>151</v>
      </c>
      <c r="C85" s="16" t="s">
        <v>152</v>
      </c>
      <c r="D85" s="17" t="s">
        <v>19</v>
      </c>
      <c r="E85" s="18" t="s">
        <v>153</v>
      </c>
      <c r="F85" s="39">
        <v>17387</v>
      </c>
      <c r="G85" s="39">
        <v>25000</v>
      </c>
      <c r="H85" s="39">
        <v>39441</v>
      </c>
      <c r="I85" s="39">
        <v>55000</v>
      </c>
      <c r="J85" s="39">
        <v>65000</v>
      </c>
      <c r="K85" s="39">
        <v>73322</v>
      </c>
      <c r="L85" s="29">
        <f t="shared" si="38"/>
        <v>275150</v>
      </c>
    </row>
    <row r="86" spans="1:12">
      <c r="A86" s="14"/>
      <c r="B86" s="21"/>
      <c r="C86" s="16" t="s">
        <v>154</v>
      </c>
      <c r="D86" s="17" t="s">
        <v>19</v>
      </c>
      <c r="E86" s="18"/>
      <c r="F86" s="28">
        <f t="shared" ref="F86:K86" si="44">F85-F84</f>
        <v>-8890.7777777777774</v>
      </c>
      <c r="G86" s="28">
        <f t="shared" si="44"/>
        <v>-19756.944444444445</v>
      </c>
      <c r="H86" s="28">
        <f t="shared" si="44"/>
        <v>-61695.063888888893</v>
      </c>
      <c r="I86" s="28">
        <f t="shared" si="44"/>
        <v>-59394.747916666674</v>
      </c>
      <c r="J86" s="28">
        <f t="shared" si="44"/>
        <v>-81217.114029166667</v>
      </c>
      <c r="K86" s="28">
        <f t="shared" si="44"/>
        <v>-57812.889205374988</v>
      </c>
      <c r="L86" s="29">
        <f t="shared" si="38"/>
        <v>-288767.53726231947</v>
      </c>
    </row>
    <row r="87" spans="1:12" ht="27.75" hidden="1" customHeight="1">
      <c r="A87" s="86" t="s">
        <v>155</v>
      </c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</row>
    <row r="88" spans="1:12" hidden="1">
      <c r="A88" s="14" t="s">
        <v>31</v>
      </c>
      <c r="B88" s="15" t="s">
        <v>32</v>
      </c>
      <c r="C88" s="16" t="s">
        <v>156</v>
      </c>
      <c r="D88" s="17" t="s">
        <v>16</v>
      </c>
      <c r="E88" s="18"/>
      <c r="F88" s="19">
        <v>10</v>
      </c>
      <c r="G88" s="19">
        <v>12</v>
      </c>
      <c r="H88" s="19">
        <v>15</v>
      </c>
      <c r="I88" s="19">
        <v>18</v>
      </c>
      <c r="J88" s="19">
        <v>20</v>
      </c>
      <c r="K88" s="19">
        <v>20</v>
      </c>
      <c r="L88" s="20"/>
    </row>
    <row r="89" spans="1:12" hidden="1">
      <c r="A89" s="14"/>
      <c r="B89" s="21"/>
      <c r="C89" s="16" t="s">
        <v>157</v>
      </c>
      <c r="D89" s="17" t="s">
        <v>16</v>
      </c>
      <c r="E89" s="18"/>
      <c r="F89" s="19">
        <v>1</v>
      </c>
      <c r="G89" s="19">
        <v>1</v>
      </c>
      <c r="H89" s="19">
        <v>2</v>
      </c>
      <c r="I89" s="19">
        <v>2</v>
      </c>
      <c r="J89" s="19">
        <v>3</v>
      </c>
      <c r="K89" s="19">
        <v>3</v>
      </c>
      <c r="L89" s="20"/>
    </row>
    <row r="90" spans="1:12" hidden="1">
      <c r="A90" s="14"/>
      <c r="B90" s="21"/>
      <c r="C90" s="16" t="s">
        <v>158</v>
      </c>
      <c r="D90" s="17" t="s">
        <v>16</v>
      </c>
      <c r="E90" s="18"/>
      <c r="F90" s="19">
        <v>0</v>
      </c>
      <c r="G90" s="19">
        <v>1</v>
      </c>
      <c r="H90" s="19">
        <v>1</v>
      </c>
      <c r="I90" s="19">
        <v>1</v>
      </c>
      <c r="J90" s="19">
        <v>2</v>
      </c>
      <c r="K90" s="19">
        <v>2</v>
      </c>
      <c r="L90" s="20"/>
    </row>
    <row r="91" spans="1:12" hidden="1">
      <c r="A91" s="14"/>
      <c r="B91" s="21"/>
      <c r="C91" s="16" t="s">
        <v>159</v>
      </c>
      <c r="D91" s="17" t="s">
        <v>19</v>
      </c>
      <c r="E91" s="18"/>
      <c r="F91" s="70">
        <v>0.15</v>
      </c>
      <c r="G91" s="70">
        <v>0.15</v>
      </c>
      <c r="H91" s="70">
        <v>0.18</v>
      </c>
      <c r="I91" s="70">
        <v>0.18</v>
      </c>
      <c r="J91" s="70">
        <v>0.2</v>
      </c>
      <c r="K91" s="70">
        <v>0.2</v>
      </c>
      <c r="L91" s="40"/>
    </row>
    <row r="92" spans="1:12" hidden="1">
      <c r="A92" s="14"/>
      <c r="B92" s="21"/>
      <c r="C92" s="16" t="s">
        <v>160</v>
      </c>
      <c r="D92" s="17" t="s">
        <v>19</v>
      </c>
      <c r="E92" s="18"/>
      <c r="F92" s="70">
        <v>0.3</v>
      </c>
      <c r="G92" s="70">
        <v>0.3</v>
      </c>
      <c r="H92" s="70">
        <v>0.35</v>
      </c>
      <c r="I92" s="70">
        <v>0.35</v>
      </c>
      <c r="J92" s="70">
        <v>0.4</v>
      </c>
      <c r="K92" s="70">
        <v>0.4</v>
      </c>
      <c r="L92" s="40"/>
    </row>
    <row r="93" spans="1:12" hidden="1">
      <c r="A93" s="14"/>
      <c r="B93" s="21"/>
      <c r="C93" s="16" t="s">
        <v>161</v>
      </c>
      <c r="D93" s="17" t="s">
        <v>19</v>
      </c>
      <c r="E93" s="18"/>
      <c r="F93" s="70">
        <v>1.5</v>
      </c>
      <c r="G93" s="70">
        <v>1.5</v>
      </c>
      <c r="H93" s="70">
        <v>1.8</v>
      </c>
      <c r="I93" s="70">
        <v>1.8</v>
      </c>
      <c r="J93" s="70">
        <v>2</v>
      </c>
      <c r="K93" s="70">
        <v>2</v>
      </c>
      <c r="L93" s="40"/>
    </row>
    <row r="94" spans="1:12" hidden="1">
      <c r="A94" s="14"/>
      <c r="B94" s="21"/>
      <c r="C94" s="16" t="s">
        <v>162</v>
      </c>
      <c r="D94" s="17" t="s">
        <v>29</v>
      </c>
      <c r="E94" s="18"/>
      <c r="F94" s="37">
        <v>0.5</v>
      </c>
      <c r="G94" s="37">
        <v>0.55000000000000004</v>
      </c>
      <c r="H94" s="37">
        <v>0.6</v>
      </c>
      <c r="I94" s="37">
        <v>0.65</v>
      </c>
      <c r="J94" s="37">
        <v>0.7</v>
      </c>
      <c r="K94" s="37">
        <v>0.7</v>
      </c>
      <c r="L94" s="38"/>
    </row>
    <row r="95" spans="1:12" hidden="1">
      <c r="A95" s="14"/>
      <c r="B95" s="21"/>
      <c r="C95" s="16" t="s">
        <v>163</v>
      </c>
      <c r="D95" s="17" t="s">
        <v>19</v>
      </c>
      <c r="E95" s="18"/>
      <c r="F95" s="28">
        <f>ROUND(F54*(F88*F91+F89*F92+F90*F93)/1000*F94*30,0)</f>
        <v>49</v>
      </c>
      <c r="G95" s="28">
        <f>ROUND(G54*(G88*G91+G89*G92+G90*G93)/1000*G94*30,0)</f>
        <v>238</v>
      </c>
      <c r="H95" s="28">
        <f>ROUND(H54*(H88*H91+H89*H92+H90*H93)/1000*H94*30,0)</f>
        <v>786</v>
      </c>
      <c r="I95" s="28">
        <f>ROUND(I54*(I88*I91+I89*I92+I90*I93)/1000*I94*30,0)</f>
        <v>2418</v>
      </c>
      <c r="J95" s="28">
        <f>ROUND(J54*(J88*J91+J89*J92+J90*J93)/1000*J94*30,0)</f>
        <v>8076</v>
      </c>
      <c r="K95" s="28">
        <f>ROUND(K54*(K88*K91+K89*K92+K90*K93)/1000*K94*30,0)</f>
        <v>12751</v>
      </c>
      <c r="L95" s="29">
        <f>SUM(F95:K95)</f>
        <v>24318</v>
      </c>
    </row>
    <row r="96" spans="1:12" hidden="1">
      <c r="A96" s="14"/>
      <c r="B96" s="15" t="s">
        <v>164</v>
      </c>
      <c r="C96" s="16" t="s">
        <v>165</v>
      </c>
      <c r="D96" s="17" t="s">
        <v>16</v>
      </c>
      <c r="E96" s="18" t="s">
        <v>133</v>
      </c>
      <c r="F96" s="19">
        <v>0</v>
      </c>
      <c r="G96" s="19">
        <v>0</v>
      </c>
      <c r="H96" s="19">
        <v>1</v>
      </c>
      <c r="I96" s="19">
        <v>2</v>
      </c>
      <c r="J96" s="19">
        <v>3</v>
      </c>
      <c r="K96" s="19">
        <v>5</v>
      </c>
      <c r="L96" s="20"/>
    </row>
    <row r="97" spans="1:12" hidden="1">
      <c r="A97" s="14"/>
      <c r="B97" s="21"/>
      <c r="C97" s="16" t="s">
        <v>166</v>
      </c>
      <c r="D97" s="17" t="s">
        <v>19</v>
      </c>
      <c r="E97" s="18"/>
      <c r="F97" s="39">
        <v>0</v>
      </c>
      <c r="G97" s="39">
        <v>0</v>
      </c>
      <c r="H97" s="39">
        <v>5000</v>
      </c>
      <c r="I97" s="39">
        <v>5000</v>
      </c>
      <c r="J97" s="39">
        <v>5000</v>
      </c>
      <c r="K97" s="39">
        <v>5000</v>
      </c>
      <c r="L97" s="40"/>
    </row>
    <row r="98" spans="1:12" hidden="1">
      <c r="A98" s="14"/>
      <c r="B98" s="21"/>
      <c r="C98" s="16" t="s">
        <v>167</v>
      </c>
      <c r="D98" s="17" t="s">
        <v>19</v>
      </c>
      <c r="E98" s="18"/>
      <c r="F98" s="28">
        <f t="shared" ref="F98:K98" si="45">F96*F97</f>
        <v>0</v>
      </c>
      <c r="G98" s="28">
        <f t="shared" si="45"/>
        <v>0</v>
      </c>
      <c r="H98" s="28">
        <f t="shared" si="45"/>
        <v>5000</v>
      </c>
      <c r="I98" s="28">
        <f t="shared" si="45"/>
        <v>10000</v>
      </c>
      <c r="J98" s="28">
        <f t="shared" si="45"/>
        <v>15000</v>
      </c>
      <c r="K98" s="28">
        <f t="shared" si="45"/>
        <v>25000</v>
      </c>
      <c r="L98" s="29">
        <f>SUM(F98:K98)</f>
        <v>55000</v>
      </c>
    </row>
    <row r="99" spans="1:12" hidden="1">
      <c r="A99" s="14"/>
      <c r="B99" s="15" t="s">
        <v>168</v>
      </c>
      <c r="C99" s="16" t="s">
        <v>169</v>
      </c>
      <c r="D99" s="17" t="s">
        <v>19</v>
      </c>
      <c r="E99" s="18" t="s">
        <v>133</v>
      </c>
      <c r="F99" s="39">
        <v>0</v>
      </c>
      <c r="G99" s="39">
        <v>0</v>
      </c>
      <c r="H99" s="39">
        <v>0</v>
      </c>
      <c r="I99" s="39">
        <v>0</v>
      </c>
      <c r="J99" s="39">
        <v>500</v>
      </c>
      <c r="K99" s="39">
        <v>2000</v>
      </c>
      <c r="L99" s="29">
        <f>SUM(F99:K99)</f>
        <v>2500</v>
      </c>
    </row>
    <row r="100" spans="1:12" hidden="1">
      <c r="A100" s="42"/>
      <c r="B100" s="43"/>
      <c r="C100" s="44" t="s">
        <v>170</v>
      </c>
      <c r="D100" s="45" t="s">
        <v>19</v>
      </c>
      <c r="E100" s="46"/>
      <c r="F100" s="47">
        <f t="shared" ref="F100:K100" si="46">F95+F98+F99</f>
        <v>49</v>
      </c>
      <c r="G100" s="47">
        <f t="shared" si="46"/>
        <v>238</v>
      </c>
      <c r="H100" s="47">
        <f t="shared" si="46"/>
        <v>5786</v>
      </c>
      <c r="I100" s="47">
        <f t="shared" si="46"/>
        <v>12418</v>
      </c>
      <c r="J100" s="47">
        <f t="shared" si="46"/>
        <v>23576</v>
      </c>
      <c r="K100" s="47">
        <f t="shared" si="46"/>
        <v>39751</v>
      </c>
      <c r="L100" s="48">
        <f>SUM(F100:K100)</f>
        <v>81818</v>
      </c>
    </row>
    <row r="101" spans="1:12" ht="27.75" customHeight="1">
      <c r="A101" s="87" t="s">
        <v>171</v>
      </c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2">
      <c r="A102" s="14" t="s">
        <v>172</v>
      </c>
      <c r="B102" s="15" t="s">
        <v>173</v>
      </c>
      <c r="C102" s="16" t="s">
        <v>174</v>
      </c>
      <c r="D102" s="17" t="s">
        <v>19</v>
      </c>
      <c r="E102" s="18"/>
      <c r="F102" s="71">
        <f>IF(F52=0,"-",F84/F52)</f>
        <v>2.1898148148148149</v>
      </c>
      <c r="G102" s="71">
        <f>IF(G52=0,"-",G84/G52)</f>
        <v>1.7902777777777779</v>
      </c>
      <c r="H102" s="71">
        <f>IF(H52=0,"-",H84/H52)</f>
        <v>2.0484912983105241</v>
      </c>
      <c r="I102" s="71">
        <f>IF(I52=0,"-",I84/I52)</f>
        <v>0.95328956597222225</v>
      </c>
      <c r="J102" s="71">
        <f>IF(J52=0,"-",J84/J52)</f>
        <v>0.66462324558712116</v>
      </c>
      <c r="K102" s="71">
        <f>IF(K52=0,"-",K84/K52)</f>
        <v>0.39737845213749995</v>
      </c>
      <c r="L102" s="40"/>
    </row>
    <row r="103" spans="1:12">
      <c r="A103" s="14"/>
      <c r="B103" s="21"/>
      <c r="C103" s="16" t="s">
        <v>175</v>
      </c>
      <c r="D103" s="17" t="s">
        <v>19</v>
      </c>
      <c r="E103" s="18"/>
      <c r="F103" s="71">
        <f>IF(F25=0,"-",F81/F25)</f>
        <v>85.111111111111114</v>
      </c>
      <c r="G103" s="71">
        <f>IF(G25=0,"-",G81/G25)</f>
        <v>100.01663339986693</v>
      </c>
      <c r="H103" s="71">
        <f>IF(H25=0,"-",H81/H25)</f>
        <v>102.43288896779953</v>
      </c>
      <c r="I103" s="71">
        <f>IF(I25=0,"-",I81/I25)</f>
        <v>69.84687869146984</v>
      </c>
      <c r="J103" s="71">
        <f>IF(J25=0,"-",J81/J25)</f>
        <v>72.493754066177615</v>
      </c>
      <c r="K103" s="71">
        <f>IF(K25=0,"-",K81/K25)</f>
        <v>72.227369995147612</v>
      </c>
      <c r="L103" s="40"/>
    </row>
    <row r="104" spans="1:12">
      <c r="A104" s="14"/>
      <c r="B104" s="21"/>
      <c r="C104" s="16" t="s">
        <v>176</v>
      </c>
      <c r="D104" s="17" t="s">
        <v>19</v>
      </c>
      <c r="E104" s="18"/>
      <c r="F104" s="71" t="str">
        <f>IF(F56=0,"-",F82/F56)</f>
        <v>-</v>
      </c>
      <c r="G104" s="71" t="str">
        <f>IF(G56=0,"-",G82/G56)</f>
        <v>-</v>
      </c>
      <c r="H104" s="71">
        <f>IF(H56=0,"-",H82/H56)</f>
        <v>0.9</v>
      </c>
      <c r="I104" s="71">
        <f>IF(I56=0,"-",I82/I56)</f>
        <v>0.8</v>
      </c>
      <c r="J104" s="71">
        <f>IF(J56=0,"-",J82/J56)</f>
        <v>0.7</v>
      </c>
      <c r="K104" s="71">
        <f>IF(K56=0,"-",K82/K56)</f>
        <v>0.6</v>
      </c>
      <c r="L104" s="40"/>
    </row>
    <row r="105" spans="1:12">
      <c r="A105" s="14"/>
      <c r="B105" s="15" t="s">
        <v>177</v>
      </c>
      <c r="C105" s="16" t="s">
        <v>178</v>
      </c>
      <c r="D105" s="17" t="s">
        <v>38</v>
      </c>
      <c r="E105" s="18"/>
      <c r="F105" s="49">
        <f t="shared" ref="F105:K105" si="47">IF(F84=0,"-",F100/F84)</f>
        <v>1.864693446088795E-3</v>
      </c>
      <c r="G105" s="49">
        <f t="shared" si="47"/>
        <v>5.3176105508145844E-3</v>
      </c>
      <c r="H105" s="49">
        <f t="shared" si="47"/>
        <v>5.7210057199345556E-2</v>
      </c>
      <c r="I105" s="49">
        <f t="shared" si="47"/>
        <v>0.10855393474048441</v>
      </c>
      <c r="J105" s="49">
        <f t="shared" si="47"/>
        <v>0.1612396753727281</v>
      </c>
      <c r="K105" s="49">
        <f t="shared" si="47"/>
        <v>0.3031306179528207</v>
      </c>
      <c r="L105" s="50"/>
    </row>
    <row r="106" spans="1:12">
      <c r="A106" s="14"/>
      <c r="B106" s="21"/>
      <c r="C106" s="16" t="s">
        <v>179</v>
      </c>
      <c r="D106" s="17" t="s">
        <v>19</v>
      </c>
      <c r="E106" s="18"/>
      <c r="F106" s="71">
        <f>IF(F52=0,"-",F100/F52)</f>
        <v>4.0833333333333329E-3</v>
      </c>
      <c r="G106" s="71">
        <f>IF(G52=0,"-",G100/G52)</f>
        <v>9.5200000000000007E-3</v>
      </c>
      <c r="H106" s="71">
        <f>IF(H52=0,"-",H100/H52)</f>
        <v>0.11719430434870673</v>
      </c>
      <c r="I106" s="71">
        <f>IF(I52=0,"-",I100/I52)</f>
        <v>0.10348333333333333</v>
      </c>
      <c r="J106" s="71">
        <f>IF(J52=0,"-",J100/J52)</f>
        <v>0.10716363636363636</v>
      </c>
      <c r="K106" s="71">
        <f>IF(K52=0,"-",K100/K52)</f>
        <v>0.12045757575757576</v>
      </c>
      <c r="L106" s="40"/>
    </row>
    <row r="107" spans="1:12">
      <c r="A107" s="14"/>
      <c r="B107" s="21"/>
      <c r="C107" s="16" t="s">
        <v>180</v>
      </c>
      <c r="D107" s="17" t="s">
        <v>19</v>
      </c>
      <c r="E107" s="18"/>
      <c r="F107" s="71">
        <f>IF(F30=0,"-",F84/F30)</f>
        <v>10.511111111111111</v>
      </c>
      <c r="G107" s="71">
        <f>IF(G30=0,"-",G84/G30)</f>
        <v>8.9335218451984915</v>
      </c>
      <c r="H107" s="71">
        <f>IF(H30=0,"-",H84/H30)</f>
        <v>11.97106708555064</v>
      </c>
      <c r="I107" s="71">
        <f>IF(I30=0,"-",I84/I30)</f>
        <v>13.7327491424941</v>
      </c>
      <c r="J107" s="71">
        <f>IF(J30=0,"-",J84/J30)</f>
        <v>18.156737332470087</v>
      </c>
      <c r="K107" s="71">
        <f>IF(K30=0,"-",K84/K30)</f>
        <v>14.550086596462473</v>
      </c>
      <c r="L107" s="40"/>
    </row>
    <row r="108" spans="1:12">
      <c r="A108" s="14"/>
      <c r="B108" s="21"/>
      <c r="C108" s="16" t="s">
        <v>181</v>
      </c>
      <c r="D108" s="17" t="s">
        <v>19</v>
      </c>
      <c r="E108" s="18"/>
      <c r="F108" s="71">
        <f>IF(F30=0,"-",F100/F30)</f>
        <v>1.9599999999999999E-2</v>
      </c>
      <c r="G108" s="71">
        <f>IF(G30=0,"-",G100/G30)</f>
        <v>4.7504990019960079E-2</v>
      </c>
      <c r="H108" s="71">
        <f>IF(H30=0,"-",H100/H30)</f>
        <v>0.68486543270155509</v>
      </c>
      <c r="I108" s="71">
        <f>IF(I30=0,"-",I100/I30)</f>
        <v>1.4907439542217478</v>
      </c>
      <c r="J108" s="71">
        <f>IF(J30=0,"-",J100/J30)</f>
        <v>2.9275864333153696</v>
      </c>
      <c r="K108" s="71">
        <f>IF(K30=0,"-",K100/K30)</f>
        <v>4.4105767412527239</v>
      </c>
      <c r="L108" s="40"/>
    </row>
    <row r="109" spans="1:12">
      <c r="A109" s="14"/>
      <c r="B109" s="15" t="s">
        <v>182</v>
      </c>
      <c r="C109" s="16" t="s">
        <v>183</v>
      </c>
      <c r="D109" s="17" t="s">
        <v>29</v>
      </c>
      <c r="E109" s="18" t="s">
        <v>184</v>
      </c>
      <c r="F109" s="37">
        <v>0</v>
      </c>
      <c r="G109" s="37">
        <v>0.6</v>
      </c>
      <c r="H109" s="37">
        <v>0.65</v>
      </c>
      <c r="I109" s="37">
        <v>0.7</v>
      </c>
      <c r="J109" s="37">
        <v>0.75</v>
      </c>
      <c r="K109" s="37">
        <v>0.8</v>
      </c>
      <c r="L109" s="38"/>
    </row>
    <row r="110" spans="1:12">
      <c r="A110" s="14"/>
      <c r="B110" s="21"/>
      <c r="C110" s="16" t="s">
        <v>185</v>
      </c>
      <c r="D110" s="17" t="s">
        <v>16</v>
      </c>
      <c r="E110" s="18" t="s">
        <v>184</v>
      </c>
      <c r="F110" s="19">
        <v>0</v>
      </c>
      <c r="G110" s="19">
        <v>40</v>
      </c>
      <c r="H110" s="19">
        <v>45</v>
      </c>
      <c r="I110" s="19">
        <v>50</v>
      </c>
      <c r="J110" s="19">
        <v>55</v>
      </c>
      <c r="K110" s="19">
        <v>60</v>
      </c>
      <c r="L110" s="20"/>
    </row>
    <row r="111" spans="1:12">
      <c r="A111" s="14"/>
      <c r="B111" s="21"/>
      <c r="C111" s="16" t="s">
        <v>186</v>
      </c>
      <c r="D111" s="17" t="s">
        <v>29</v>
      </c>
      <c r="E111" s="18" t="s">
        <v>184</v>
      </c>
      <c r="F111" s="37">
        <v>0.9</v>
      </c>
      <c r="G111" s="37">
        <v>0.92</v>
      </c>
      <c r="H111" s="37">
        <v>0.95</v>
      </c>
      <c r="I111" s="37">
        <v>0.95</v>
      </c>
      <c r="J111" s="37">
        <v>0.95</v>
      </c>
      <c r="K111" s="37">
        <v>0.95</v>
      </c>
      <c r="L111" s="38"/>
    </row>
    <row r="112" spans="1:12">
      <c r="A112" s="14"/>
      <c r="B112" s="15" t="s">
        <v>187</v>
      </c>
      <c r="C112" s="16" t="s">
        <v>188</v>
      </c>
      <c r="D112" s="17" t="s">
        <v>19</v>
      </c>
      <c r="E112" s="18"/>
      <c r="F112" s="28">
        <f t="shared" ref="F112:K112" si="48">F100-F84</f>
        <v>-26228.777777777777</v>
      </c>
      <c r="G112" s="28">
        <f t="shared" si="48"/>
        <v>-44518.944444444445</v>
      </c>
      <c r="H112" s="28">
        <f t="shared" si="48"/>
        <v>-95350.063888888893</v>
      </c>
      <c r="I112" s="28">
        <f t="shared" si="48"/>
        <v>-101976.74791666667</v>
      </c>
      <c r="J112" s="28">
        <f t="shared" si="48"/>
        <v>-122641.11402916667</v>
      </c>
      <c r="K112" s="28">
        <f t="shared" si="48"/>
        <v>-91383.889205374988</v>
      </c>
      <c r="L112" s="29">
        <f>SUM(F112:K112)</f>
        <v>-482099.53726231947</v>
      </c>
    </row>
    <row r="113" spans="1:12">
      <c r="A113" s="14"/>
      <c r="B113" s="21"/>
      <c r="C113" s="16" t="s">
        <v>189</v>
      </c>
      <c r="D113" s="17" t="s">
        <v>29</v>
      </c>
      <c r="E113" s="18"/>
      <c r="F113" s="41">
        <f t="shared" ref="F113:K113" si="49">IF(F100=0,"-",F112/F100)</f>
        <v>-535.28117913832193</v>
      </c>
      <c r="G113" s="41">
        <f t="shared" si="49"/>
        <v>-187.05438842203549</v>
      </c>
      <c r="H113" s="41">
        <f t="shared" si="49"/>
        <v>-16.479444156392827</v>
      </c>
      <c r="I113" s="41">
        <f t="shared" si="49"/>
        <v>-8.2120106230203476</v>
      </c>
      <c r="J113" s="41">
        <f t="shared" si="49"/>
        <v>-5.20194749020897</v>
      </c>
      <c r="K113" s="41">
        <f t="shared" si="49"/>
        <v>-2.2989079320111441</v>
      </c>
      <c r="L113" s="38"/>
    </row>
    <row r="114" spans="1:12">
      <c r="A114" s="14"/>
      <c r="B114" s="15" t="s">
        <v>190</v>
      </c>
      <c r="C114" s="16" t="s">
        <v>191</v>
      </c>
      <c r="D114" s="17" t="s">
        <v>29</v>
      </c>
      <c r="E114" s="18" t="s">
        <v>192</v>
      </c>
      <c r="F114" s="37">
        <v>0</v>
      </c>
      <c r="G114" s="37">
        <v>0</v>
      </c>
      <c r="H114" s="37">
        <v>0</v>
      </c>
      <c r="I114" s="37">
        <v>0.1</v>
      </c>
      <c r="J114" s="37">
        <v>0.12</v>
      </c>
      <c r="K114" s="37">
        <v>0.15</v>
      </c>
      <c r="L114" s="38"/>
    </row>
    <row r="115" spans="1:12">
      <c r="A115" s="14"/>
      <c r="B115" s="21"/>
      <c r="C115" s="16" t="s">
        <v>193</v>
      </c>
      <c r="D115" s="17" t="s">
        <v>54</v>
      </c>
      <c r="E115" s="18"/>
      <c r="F115" s="26">
        <f>IF(F25=0,"-",F100*F114/F25*$B$3)</f>
        <v>0</v>
      </c>
      <c r="G115" s="26">
        <f>IF(G25=0,"-",G100*G114/G25*$B$3)</f>
        <v>0</v>
      </c>
      <c r="H115" s="26">
        <f>IF(H25=0,"-",H100*H114/H25*$B$3)</f>
        <v>0</v>
      </c>
      <c r="I115" s="26">
        <f>IF(I25=0,"-",I100*I114/I25*$B$3)</f>
        <v>161.97256327211767</v>
      </c>
      <c r="J115" s="26">
        <f>IF(J25=0,"-",J100*J114/J25*$B$3)</f>
        <v>318.15470252542872</v>
      </c>
      <c r="K115" s="26">
        <f>IF(K25=0,"-",K100*K114/K25*$B$3)</f>
        <v>598.7495764482245</v>
      </c>
      <c r="L115" s="25"/>
    </row>
    <row r="117" spans="1:12">
      <c r="A117" s="88" t="s">
        <v>194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</row>
    <row r="118" spans="1:12">
      <c r="A118" s="89" t="s">
        <v>195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</row>
    <row r="119" spans="1:12">
      <c r="A119" s="89" t="s">
        <v>196</v>
      </c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</row>
    <row r="120" spans="1:12">
      <c r="A120" s="89" t="s">
        <v>197</v>
      </c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</row>
    <row r="121" spans="1:12">
      <c r="A121" s="89" t="s">
        <v>198</v>
      </c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</row>
    <row r="122" spans="1:12">
      <c r="A122" s="89" t="s">
        <v>199</v>
      </c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</row>
    <row r="123" spans="1:12">
      <c r="A123" s="89" t="s">
        <v>200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</row>
    <row r="124" spans="1:12">
      <c r="A124" s="89" t="s">
        <v>201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</row>
    <row r="125" spans="1:12">
      <c r="A125" s="89" t="s">
        <v>202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</row>
    <row r="126" spans="1:12">
      <c r="A126" s="89" t="s">
        <v>203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</row>
    <row r="127" spans="1:12">
      <c r="A127" s="89" t="s">
        <v>204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</row>
  </sheetData>
  <mergeCells count="20">
    <mergeCell ref="A119:L119"/>
    <mergeCell ref="A1:L1"/>
    <mergeCell ref="A2:L2"/>
    <mergeCell ref="A4:L4"/>
    <mergeCell ref="A24:L24"/>
    <mergeCell ref="A51:L51"/>
    <mergeCell ref="A60:L60"/>
    <mergeCell ref="A71:L71"/>
    <mergeCell ref="A87:L87"/>
    <mergeCell ref="A101:L101"/>
    <mergeCell ref="A117:L117"/>
    <mergeCell ref="A118:L118"/>
    <mergeCell ref="A126:L126"/>
    <mergeCell ref="A127:L127"/>
    <mergeCell ref="A120:L120"/>
    <mergeCell ref="A121:L121"/>
    <mergeCell ref="A122:L122"/>
    <mergeCell ref="A123:L123"/>
    <mergeCell ref="A124:L124"/>
    <mergeCell ref="A125:L125"/>
  </mergeCells>
  <pageMargins left="0.75" right="0.75" top="1" bottom="1" header="0.511811023622047" footer="0.511811023622047"/>
  <pageSetup orientation="landscape" horizontalDpi="300" verticalDpi="300"/>
</worksheet>
</file>

<file path=docMetadata/LabelInfo.xml><?xml version="1.0" encoding="utf-8"?>
<clbl:labelList xmlns:clbl="http://schemas.microsoft.com/office/2020/mipLabelMetadata">
  <clbl:label id="{1a27bdbf-e6cc-4e33-85d2-e1c81bad930a}" enabled="0" method="" siteId="{1a27bdbf-e6cc-4e33-85d2-e1c81bad93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2026-04-23T01:59:10Z</dcterms:created>
  <dcterms:modified xsi:type="dcterms:W3CDTF">2026-05-03T09:17:02Z</dcterms:modified>
  <cp:category/>
  <cp:contentStatus/>
</cp:coreProperties>
</file>